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28800" yWindow="-7100" windowWidth="33600" windowHeight="20460" tabRatio="500" activeTab="1"/>
  </bookViews>
  <sheets>
    <sheet name="Players" sheetId="1" r:id="rId1"/>
    <sheet name="Draft" sheetId="3" r:id="rId2"/>
    <sheet name="Teams Comp" sheetId="4" r:id="rId3"/>
    <sheet name="Teams" sheetId="5" r:id="rId4"/>
  </sheets>
  <definedNames>
    <definedName name="_xlnm._FilterDatabase" localSheetId="0" hidden="1">Players!$A$1:$E$541</definedName>
    <definedName name="_xlnm._FilterDatabase" localSheetId="3" hidden="1">Teams!$A$1:$D$151</definedName>
    <definedName name="_xlnm._FilterDatabase" hidden="1">Players!$A$1:$E$491</definedName>
  </definedNames>
  <calcPr calcId="140001" concurrentCalc="0"/>
  <webPublishing allowPng="1" targetScreenSize="1024x768" dpi="72" codePage="1000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3" l="1"/>
  <c r="D4" i="3"/>
  <c r="D5" i="3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2" i="1"/>
  <c r="E3" i="1"/>
  <c r="E4" i="1"/>
  <c r="E5" i="1"/>
  <c r="E6" i="1"/>
  <c r="E7" i="1"/>
  <c r="E8" i="1"/>
  <c r="E9" i="1"/>
  <c r="E10" i="1"/>
  <c r="E11" i="1"/>
  <c r="F4" i="3"/>
  <c r="D8" i="3"/>
  <c r="D6" i="3"/>
  <c r="D7" i="3"/>
  <c r="D9" i="3"/>
  <c r="D10" i="3"/>
  <c r="D11" i="3"/>
  <c r="D12" i="3"/>
  <c r="E8" i="3"/>
  <c r="C92" i="5"/>
  <c r="F8" i="3"/>
  <c r="D92" i="5"/>
  <c r="E19" i="3"/>
  <c r="C93" i="5"/>
  <c r="F19" i="3"/>
  <c r="D93" i="5"/>
  <c r="E32" i="3"/>
  <c r="C94" i="5"/>
  <c r="F32" i="3"/>
  <c r="D94" i="5"/>
  <c r="E43" i="3"/>
  <c r="C95" i="5"/>
  <c r="F43" i="3"/>
  <c r="D95" i="5"/>
  <c r="E56" i="3"/>
  <c r="C96" i="5"/>
  <c r="F56" i="3"/>
  <c r="D96" i="5"/>
  <c r="E67" i="3"/>
  <c r="C97" i="5"/>
  <c r="F67" i="3"/>
  <c r="D97" i="5"/>
  <c r="E80" i="3"/>
  <c r="C98" i="5"/>
  <c r="F80" i="3"/>
  <c r="D98" i="5"/>
  <c r="E91" i="3"/>
  <c r="C99" i="5"/>
  <c r="F91" i="3"/>
  <c r="D99" i="5"/>
  <c r="E104" i="3"/>
  <c r="C100" i="5"/>
  <c r="F104" i="3"/>
  <c r="D100" i="5"/>
  <c r="E115" i="3"/>
  <c r="C101" i="5"/>
  <c r="F115" i="3"/>
  <c r="D101" i="5"/>
  <c r="E128" i="3"/>
  <c r="C102" i="5"/>
  <c r="F128" i="3"/>
  <c r="D102" i="5"/>
  <c r="E139" i="3"/>
  <c r="C103" i="5"/>
  <c r="F139" i="3"/>
  <c r="D103" i="5"/>
  <c r="E152" i="3"/>
  <c r="C104" i="5"/>
  <c r="F152" i="3"/>
  <c r="D104" i="5"/>
  <c r="E163" i="3"/>
  <c r="C105" i="5"/>
  <c r="F163" i="3"/>
  <c r="D105" i="5"/>
  <c r="E176" i="3"/>
  <c r="C106" i="5"/>
  <c r="F176" i="3"/>
  <c r="D106" i="5"/>
  <c r="E9" i="3"/>
  <c r="C107" i="5"/>
  <c r="F9" i="3"/>
  <c r="D107" i="5"/>
  <c r="E18" i="3"/>
  <c r="C108" i="5"/>
  <c r="F18" i="3"/>
  <c r="D108" i="5"/>
  <c r="E33" i="3"/>
  <c r="C109" i="5"/>
  <c r="F33" i="3"/>
  <c r="D109" i="5"/>
  <c r="E42" i="3"/>
  <c r="C110" i="5"/>
  <c r="F42" i="3"/>
  <c r="D110" i="5"/>
  <c r="E57" i="3"/>
  <c r="C111" i="5"/>
  <c r="F57" i="3"/>
  <c r="D111" i="5"/>
  <c r="E66" i="3"/>
  <c r="C112" i="5"/>
  <c r="F66" i="3"/>
  <c r="D112" i="5"/>
  <c r="E81" i="3"/>
  <c r="C113" i="5"/>
  <c r="F81" i="3"/>
  <c r="D113" i="5"/>
  <c r="E90" i="3"/>
  <c r="C114" i="5"/>
  <c r="F90" i="3"/>
  <c r="D114" i="5"/>
  <c r="E105" i="3"/>
  <c r="C115" i="5"/>
  <c r="F105" i="3"/>
  <c r="D115" i="5"/>
  <c r="E114" i="3"/>
  <c r="C116" i="5"/>
  <c r="F114" i="3"/>
  <c r="D116" i="5"/>
  <c r="E129" i="3"/>
  <c r="C117" i="5"/>
  <c r="F129" i="3"/>
  <c r="D117" i="5"/>
  <c r="E138" i="3"/>
  <c r="C118" i="5"/>
  <c r="F138" i="3"/>
  <c r="D118" i="5"/>
  <c r="E153" i="3"/>
  <c r="C119" i="5"/>
  <c r="F153" i="3"/>
  <c r="D119" i="5"/>
  <c r="E162" i="3"/>
  <c r="C120" i="5"/>
  <c r="F162" i="3"/>
  <c r="D120" i="5"/>
  <c r="E177" i="3"/>
  <c r="C121" i="5"/>
  <c r="F177" i="3"/>
  <c r="D121" i="5"/>
  <c r="E10" i="3"/>
  <c r="C122" i="5"/>
  <c r="F10" i="3"/>
  <c r="D122" i="5"/>
  <c r="E17" i="3"/>
  <c r="C123" i="5"/>
  <c r="F17" i="3"/>
  <c r="D123" i="5"/>
  <c r="E34" i="3"/>
  <c r="C124" i="5"/>
  <c r="F34" i="3"/>
  <c r="D124" i="5"/>
  <c r="E41" i="3"/>
  <c r="C125" i="5"/>
  <c r="F41" i="3"/>
  <c r="D125" i="5"/>
  <c r="E58" i="3"/>
  <c r="C126" i="5"/>
  <c r="F58" i="3"/>
  <c r="D126" i="5"/>
  <c r="E65" i="3"/>
  <c r="C127" i="5"/>
  <c r="F65" i="3"/>
  <c r="D127" i="5"/>
  <c r="E82" i="3"/>
  <c r="C128" i="5"/>
  <c r="F82" i="3"/>
  <c r="D128" i="5"/>
  <c r="E89" i="3"/>
  <c r="C129" i="5"/>
  <c r="F89" i="3"/>
  <c r="D129" i="5"/>
  <c r="E106" i="3"/>
  <c r="C130" i="5"/>
  <c r="F106" i="3"/>
  <c r="D130" i="5"/>
  <c r="E113" i="3"/>
  <c r="C131" i="5"/>
  <c r="F113" i="3"/>
  <c r="D131" i="5"/>
  <c r="E130" i="3"/>
  <c r="C132" i="5"/>
  <c r="F130" i="3"/>
  <c r="D132" i="5"/>
  <c r="E137" i="3"/>
  <c r="C133" i="5"/>
  <c r="F137" i="3"/>
  <c r="D133" i="5"/>
  <c r="E154" i="3"/>
  <c r="C134" i="5"/>
  <c r="F154" i="3"/>
  <c r="D134" i="5"/>
  <c r="E161" i="3"/>
  <c r="C135" i="5"/>
  <c r="F161" i="3"/>
  <c r="D135" i="5"/>
  <c r="E178" i="3"/>
  <c r="C136" i="5"/>
  <c r="F178" i="3"/>
  <c r="D136" i="5"/>
  <c r="E11" i="3"/>
  <c r="C137" i="5"/>
  <c r="F11" i="3"/>
  <c r="D137" i="5"/>
  <c r="E16" i="3"/>
  <c r="C138" i="5"/>
  <c r="F16" i="3"/>
  <c r="D138" i="5"/>
  <c r="E35" i="3"/>
  <c r="C139" i="5"/>
  <c r="F35" i="3"/>
  <c r="D139" i="5"/>
  <c r="E40" i="3"/>
  <c r="C140" i="5"/>
  <c r="F40" i="3"/>
  <c r="D140" i="5"/>
  <c r="E59" i="3"/>
  <c r="C141" i="5"/>
  <c r="F59" i="3"/>
  <c r="D141" i="5"/>
  <c r="E64" i="3"/>
  <c r="C142" i="5"/>
  <c r="F64" i="3"/>
  <c r="D142" i="5"/>
  <c r="E83" i="3"/>
  <c r="C143" i="5"/>
  <c r="F83" i="3"/>
  <c r="D143" i="5"/>
  <c r="E88" i="3"/>
  <c r="C144" i="5"/>
  <c r="F88" i="3"/>
  <c r="D144" i="5"/>
  <c r="E107" i="3"/>
  <c r="C145" i="5"/>
  <c r="F107" i="3"/>
  <c r="D145" i="5"/>
  <c r="E112" i="3"/>
  <c r="C146" i="5"/>
  <c r="F112" i="3"/>
  <c r="D146" i="5"/>
  <c r="E131" i="3"/>
  <c r="C147" i="5"/>
  <c r="F131" i="3"/>
  <c r="D147" i="5"/>
  <c r="E136" i="3"/>
  <c r="C148" i="5"/>
  <c r="F136" i="3"/>
  <c r="D148" i="5"/>
  <c r="E155" i="3"/>
  <c r="C149" i="5"/>
  <c r="F155" i="3"/>
  <c r="D149" i="5"/>
  <c r="E160" i="3"/>
  <c r="C150" i="5"/>
  <c r="F160" i="3"/>
  <c r="D150" i="5"/>
  <c r="E179" i="3"/>
  <c r="C151" i="5"/>
  <c r="F179" i="3"/>
  <c r="D151" i="5"/>
  <c r="D179" i="3"/>
  <c r="B151" i="5"/>
  <c r="D160" i="3"/>
  <c r="B150" i="5"/>
  <c r="D155" i="3"/>
  <c r="B149" i="5"/>
  <c r="D136" i="3"/>
  <c r="B148" i="5"/>
  <c r="D131" i="3"/>
  <c r="B147" i="5"/>
  <c r="D112" i="3"/>
  <c r="B146" i="5"/>
  <c r="D107" i="3"/>
  <c r="B145" i="5"/>
  <c r="D88" i="3"/>
  <c r="B144" i="5"/>
  <c r="D83" i="3"/>
  <c r="B143" i="5"/>
  <c r="D64" i="3"/>
  <c r="B142" i="5"/>
  <c r="D59" i="3"/>
  <c r="B141" i="5"/>
  <c r="D40" i="3"/>
  <c r="B140" i="5"/>
  <c r="D35" i="3"/>
  <c r="B139" i="5"/>
  <c r="D16" i="3"/>
  <c r="B138" i="5"/>
  <c r="B137" i="5"/>
  <c r="D178" i="3"/>
  <c r="B136" i="5"/>
  <c r="D161" i="3"/>
  <c r="B135" i="5"/>
  <c r="D154" i="3"/>
  <c r="B134" i="5"/>
  <c r="D137" i="3"/>
  <c r="B133" i="5"/>
  <c r="D130" i="3"/>
  <c r="B132" i="5"/>
  <c r="D113" i="3"/>
  <c r="B131" i="5"/>
  <c r="D106" i="3"/>
  <c r="B130" i="5"/>
  <c r="D89" i="3"/>
  <c r="B129" i="5"/>
  <c r="D82" i="3"/>
  <c r="B128" i="5"/>
  <c r="D65" i="3"/>
  <c r="B127" i="5"/>
  <c r="D58" i="3"/>
  <c r="B126" i="5"/>
  <c r="D41" i="3"/>
  <c r="B125" i="5"/>
  <c r="D34" i="3"/>
  <c r="B124" i="5"/>
  <c r="D17" i="3"/>
  <c r="B123" i="5"/>
  <c r="B122" i="5"/>
  <c r="D162" i="3"/>
  <c r="B120" i="5"/>
  <c r="D177" i="3"/>
  <c r="B121" i="5"/>
  <c r="D153" i="3"/>
  <c r="B119" i="5"/>
  <c r="D138" i="3"/>
  <c r="B118" i="5"/>
  <c r="D129" i="3"/>
  <c r="B117" i="5"/>
  <c r="D114" i="3"/>
  <c r="B116" i="5"/>
  <c r="D105" i="3"/>
  <c r="B115" i="5"/>
  <c r="D90" i="3"/>
  <c r="B114" i="5"/>
  <c r="D81" i="3"/>
  <c r="B113" i="5"/>
  <c r="D66" i="3"/>
  <c r="B112" i="5"/>
  <c r="D57" i="3"/>
  <c r="B111" i="5"/>
  <c r="D42" i="3"/>
  <c r="B110" i="5"/>
  <c r="D33" i="3"/>
  <c r="B109" i="5"/>
  <c r="D18" i="3"/>
  <c r="B108" i="5"/>
  <c r="B107" i="5"/>
  <c r="E78" i="3"/>
  <c r="C68" i="5"/>
  <c r="F78" i="3"/>
  <c r="D68" i="5"/>
  <c r="E140" i="3"/>
  <c r="C88" i="5"/>
  <c r="F140" i="3"/>
  <c r="D88" i="5"/>
  <c r="D78" i="3"/>
  <c r="B68" i="5"/>
  <c r="D140" i="3"/>
  <c r="B88" i="5"/>
  <c r="D176" i="3"/>
  <c r="B106" i="5"/>
  <c r="D163" i="3"/>
  <c r="B105" i="5"/>
  <c r="D152" i="3"/>
  <c r="B104" i="5"/>
  <c r="D139" i="3"/>
  <c r="B103" i="5"/>
  <c r="D128" i="3"/>
  <c r="B102" i="5"/>
  <c r="D115" i="3"/>
  <c r="B101" i="5"/>
  <c r="D104" i="3"/>
  <c r="B100" i="5"/>
  <c r="D91" i="3"/>
  <c r="B99" i="5"/>
  <c r="D80" i="3"/>
  <c r="B98" i="5"/>
  <c r="D67" i="3"/>
  <c r="B97" i="5"/>
  <c r="D56" i="3"/>
  <c r="B96" i="5"/>
  <c r="D43" i="3"/>
  <c r="B95" i="5"/>
  <c r="D32" i="3"/>
  <c r="B94" i="5"/>
  <c r="D19" i="3"/>
  <c r="B93" i="5"/>
  <c r="B92" i="5"/>
  <c r="E7" i="3"/>
  <c r="C77" i="5"/>
  <c r="F7" i="3"/>
  <c r="D77" i="5"/>
  <c r="E20" i="3"/>
  <c r="C78" i="5"/>
  <c r="F20" i="3"/>
  <c r="D78" i="5"/>
  <c r="E31" i="3"/>
  <c r="C79" i="5"/>
  <c r="F31" i="3"/>
  <c r="D79" i="5"/>
  <c r="E44" i="3"/>
  <c r="C80" i="5"/>
  <c r="F44" i="3"/>
  <c r="D80" i="5"/>
  <c r="E55" i="3"/>
  <c r="C81" i="5"/>
  <c r="F55" i="3"/>
  <c r="D81" i="5"/>
  <c r="E68" i="3"/>
  <c r="C82" i="5"/>
  <c r="F68" i="3"/>
  <c r="D82" i="5"/>
  <c r="E79" i="3"/>
  <c r="C83" i="5"/>
  <c r="F79" i="3"/>
  <c r="D83" i="5"/>
  <c r="E92" i="3"/>
  <c r="C84" i="5"/>
  <c r="F92" i="3"/>
  <c r="D84" i="5"/>
  <c r="E103" i="3"/>
  <c r="C85" i="5"/>
  <c r="F103" i="3"/>
  <c r="D85" i="5"/>
  <c r="E116" i="3"/>
  <c r="C86" i="5"/>
  <c r="F116" i="3"/>
  <c r="D86" i="5"/>
  <c r="E127" i="3"/>
  <c r="C87" i="5"/>
  <c r="F127" i="3"/>
  <c r="D87" i="5"/>
  <c r="E151" i="3"/>
  <c r="C89" i="5"/>
  <c r="F151" i="3"/>
  <c r="D89" i="5"/>
  <c r="E164" i="3"/>
  <c r="C90" i="5"/>
  <c r="F164" i="3"/>
  <c r="D90" i="5"/>
  <c r="E175" i="3"/>
  <c r="C91" i="5"/>
  <c r="F175" i="3"/>
  <c r="D91" i="5"/>
  <c r="D175" i="3"/>
  <c r="B91" i="5"/>
  <c r="D164" i="3"/>
  <c r="B90" i="5"/>
  <c r="D151" i="3"/>
  <c r="B89" i="5"/>
  <c r="D127" i="3"/>
  <c r="B87" i="5"/>
  <c r="D116" i="3"/>
  <c r="B86" i="5"/>
  <c r="D103" i="3"/>
  <c r="B85" i="5"/>
  <c r="D92" i="3"/>
  <c r="B84" i="5"/>
  <c r="D79" i="3"/>
  <c r="B83" i="5"/>
  <c r="D68" i="3"/>
  <c r="B82" i="5"/>
  <c r="D55" i="3"/>
  <c r="B81" i="5"/>
  <c r="D44" i="3"/>
  <c r="B80" i="5"/>
  <c r="D31" i="3"/>
  <c r="B79" i="5"/>
  <c r="D20" i="3"/>
  <c r="B78" i="5"/>
  <c r="B77" i="5"/>
  <c r="E5" i="3"/>
  <c r="C47" i="5"/>
  <c r="F5" i="3"/>
  <c r="D47" i="5"/>
  <c r="E22" i="3"/>
  <c r="C48" i="5"/>
  <c r="F22" i="3"/>
  <c r="D48" i="5"/>
  <c r="E29" i="3"/>
  <c r="C49" i="5"/>
  <c r="F29" i="3"/>
  <c r="D49" i="5"/>
  <c r="E46" i="3"/>
  <c r="C50" i="5"/>
  <c r="F46" i="3"/>
  <c r="D50" i="5"/>
  <c r="E53" i="3"/>
  <c r="C51" i="5"/>
  <c r="F53" i="3"/>
  <c r="D51" i="5"/>
  <c r="E70" i="3"/>
  <c r="C52" i="5"/>
  <c r="F70" i="3"/>
  <c r="D52" i="5"/>
  <c r="E77" i="3"/>
  <c r="C53" i="5"/>
  <c r="F77" i="3"/>
  <c r="D53" i="5"/>
  <c r="E94" i="3"/>
  <c r="C54" i="5"/>
  <c r="F94" i="3"/>
  <c r="D54" i="5"/>
  <c r="E101" i="3"/>
  <c r="C55" i="5"/>
  <c r="F101" i="3"/>
  <c r="D55" i="5"/>
  <c r="E118" i="3"/>
  <c r="C56" i="5"/>
  <c r="F118" i="3"/>
  <c r="D56" i="5"/>
  <c r="E125" i="3"/>
  <c r="C57" i="5"/>
  <c r="F125" i="3"/>
  <c r="D57" i="5"/>
  <c r="E142" i="3"/>
  <c r="C58" i="5"/>
  <c r="F142" i="3"/>
  <c r="D58" i="5"/>
  <c r="E149" i="3"/>
  <c r="C59" i="5"/>
  <c r="F149" i="3"/>
  <c r="D59" i="5"/>
  <c r="E166" i="3"/>
  <c r="C60" i="5"/>
  <c r="F166" i="3"/>
  <c r="D60" i="5"/>
  <c r="E173" i="3"/>
  <c r="C61" i="5"/>
  <c r="F173" i="3"/>
  <c r="D61" i="5"/>
  <c r="E6" i="3"/>
  <c r="C62" i="5"/>
  <c r="F6" i="3"/>
  <c r="D62" i="5"/>
  <c r="E21" i="3"/>
  <c r="C63" i="5"/>
  <c r="F21" i="3"/>
  <c r="D63" i="5"/>
  <c r="E30" i="3"/>
  <c r="C64" i="5"/>
  <c r="F30" i="3"/>
  <c r="D64" i="5"/>
  <c r="E45" i="3"/>
  <c r="C65" i="5"/>
  <c r="F45" i="3"/>
  <c r="D65" i="5"/>
  <c r="E54" i="3"/>
  <c r="C66" i="5"/>
  <c r="F54" i="3"/>
  <c r="D66" i="5"/>
  <c r="E69" i="3"/>
  <c r="C67" i="5"/>
  <c r="F69" i="3"/>
  <c r="D67" i="5"/>
  <c r="E93" i="3"/>
  <c r="C69" i="5"/>
  <c r="F93" i="3"/>
  <c r="D69" i="5"/>
  <c r="E102" i="3"/>
  <c r="C70" i="5"/>
  <c r="F102" i="3"/>
  <c r="D70" i="5"/>
  <c r="E117" i="3"/>
  <c r="C71" i="5"/>
  <c r="F117" i="3"/>
  <c r="D71" i="5"/>
  <c r="E126" i="3"/>
  <c r="C72" i="5"/>
  <c r="F126" i="3"/>
  <c r="D72" i="5"/>
  <c r="E141" i="3"/>
  <c r="C73" i="5"/>
  <c r="F141" i="3"/>
  <c r="D73" i="5"/>
  <c r="E150" i="3"/>
  <c r="C74" i="5"/>
  <c r="F150" i="3"/>
  <c r="D74" i="5"/>
  <c r="E165" i="3"/>
  <c r="C75" i="5"/>
  <c r="F165" i="3"/>
  <c r="D75" i="5"/>
  <c r="E174" i="3"/>
  <c r="C76" i="5"/>
  <c r="F174" i="3"/>
  <c r="D76" i="5"/>
  <c r="D174" i="3"/>
  <c r="B76" i="5"/>
  <c r="D165" i="3"/>
  <c r="B75" i="5"/>
  <c r="D150" i="3"/>
  <c r="B74" i="5"/>
  <c r="D141" i="3"/>
  <c r="B73" i="5"/>
  <c r="D126" i="3"/>
  <c r="B72" i="5"/>
  <c r="D117" i="3"/>
  <c r="B71" i="5"/>
  <c r="D102" i="3"/>
  <c r="B70" i="5"/>
  <c r="D93" i="3"/>
  <c r="B69" i="5"/>
  <c r="D69" i="3"/>
  <c r="B67" i="5"/>
  <c r="D54" i="3"/>
  <c r="B66" i="5"/>
  <c r="D45" i="3"/>
  <c r="B65" i="5"/>
  <c r="D30" i="3"/>
  <c r="B64" i="5"/>
  <c r="D21" i="3"/>
  <c r="B63" i="5"/>
  <c r="B62" i="5"/>
  <c r="D173" i="3"/>
  <c r="B61" i="5"/>
  <c r="D166" i="3"/>
  <c r="B60" i="5"/>
  <c r="D149" i="3"/>
  <c r="B59" i="5"/>
  <c r="D142" i="3"/>
  <c r="B58" i="5"/>
  <c r="D125" i="3"/>
  <c r="B57" i="5"/>
  <c r="D118" i="3"/>
  <c r="B56" i="5"/>
  <c r="D101" i="3"/>
  <c r="B55" i="5"/>
  <c r="D94" i="3"/>
  <c r="B54" i="5"/>
  <c r="D77" i="3"/>
  <c r="B53" i="5"/>
  <c r="D70" i="3"/>
  <c r="B52" i="5"/>
  <c r="D53" i="3"/>
  <c r="B51" i="5"/>
  <c r="D46" i="3"/>
  <c r="B50" i="5"/>
  <c r="D29" i="3"/>
  <c r="B49" i="5"/>
  <c r="D22" i="3"/>
  <c r="B48" i="5"/>
  <c r="B47" i="5"/>
  <c r="E12" i="3"/>
  <c r="C17" i="5"/>
  <c r="F12" i="3"/>
  <c r="D17" i="5"/>
  <c r="E15" i="3"/>
  <c r="C18" i="5"/>
  <c r="F15" i="3"/>
  <c r="D18" i="5"/>
  <c r="E36" i="3"/>
  <c r="C19" i="5"/>
  <c r="F36" i="3"/>
  <c r="D19" i="5"/>
  <c r="E39" i="3"/>
  <c r="C20" i="5"/>
  <c r="F39" i="3"/>
  <c r="D20" i="5"/>
  <c r="E60" i="3"/>
  <c r="C21" i="5"/>
  <c r="F60" i="3"/>
  <c r="D21" i="5"/>
  <c r="C22" i="5"/>
  <c r="D22" i="5"/>
  <c r="E84" i="3"/>
  <c r="C23" i="5"/>
  <c r="F84" i="3"/>
  <c r="D23" i="5"/>
  <c r="E87" i="3"/>
  <c r="C24" i="5"/>
  <c r="F87" i="3"/>
  <c r="D24" i="5"/>
  <c r="E108" i="3"/>
  <c r="C25" i="5"/>
  <c r="F108" i="3"/>
  <c r="D25" i="5"/>
  <c r="E111" i="3"/>
  <c r="C26" i="5"/>
  <c r="F111" i="3"/>
  <c r="D26" i="5"/>
  <c r="E132" i="3"/>
  <c r="C27" i="5"/>
  <c r="F132" i="3"/>
  <c r="D27" i="5"/>
  <c r="E135" i="3"/>
  <c r="C28" i="5"/>
  <c r="F135" i="3"/>
  <c r="D28" i="5"/>
  <c r="E156" i="3"/>
  <c r="C29" i="5"/>
  <c r="F156" i="3"/>
  <c r="D29" i="5"/>
  <c r="E159" i="3"/>
  <c r="C30" i="5"/>
  <c r="F159" i="3"/>
  <c r="D30" i="5"/>
  <c r="E180" i="3"/>
  <c r="C31" i="5"/>
  <c r="F180" i="3"/>
  <c r="D31" i="5"/>
  <c r="D180" i="3"/>
  <c r="B31" i="5"/>
  <c r="D159" i="3"/>
  <c r="B30" i="5"/>
  <c r="D156" i="3"/>
  <c r="B29" i="5"/>
  <c r="D135" i="3"/>
  <c r="B28" i="5"/>
  <c r="D132" i="3"/>
  <c r="B27" i="5"/>
  <c r="D111" i="3"/>
  <c r="B26" i="5"/>
  <c r="D108" i="3"/>
  <c r="B25" i="5"/>
  <c r="D87" i="3"/>
  <c r="B24" i="5"/>
  <c r="D84" i="3"/>
  <c r="B23" i="5"/>
  <c r="B22" i="5"/>
  <c r="D60" i="3"/>
  <c r="B21" i="5"/>
  <c r="D39" i="3"/>
  <c r="B20" i="5"/>
  <c r="D36" i="3"/>
  <c r="B19" i="5"/>
  <c r="D15" i="3"/>
  <c r="B18" i="5"/>
  <c r="B17" i="5"/>
  <c r="E4" i="3"/>
  <c r="C35" i="5"/>
  <c r="D35" i="5"/>
  <c r="E23" i="3"/>
  <c r="C34" i="5"/>
  <c r="F23" i="3"/>
  <c r="D34" i="5"/>
  <c r="E28" i="3"/>
  <c r="C36" i="5"/>
  <c r="F28" i="3"/>
  <c r="D36" i="5"/>
  <c r="E47" i="3"/>
  <c r="C37" i="5"/>
  <c r="F47" i="3"/>
  <c r="D37" i="5"/>
  <c r="E52" i="3"/>
  <c r="C38" i="5"/>
  <c r="F52" i="3"/>
  <c r="D38" i="5"/>
  <c r="E71" i="3"/>
  <c r="C39" i="5"/>
  <c r="F71" i="3"/>
  <c r="D39" i="5"/>
  <c r="E76" i="3"/>
  <c r="C40" i="5"/>
  <c r="F76" i="3"/>
  <c r="D40" i="5"/>
  <c r="E95" i="3"/>
  <c r="C41" i="5"/>
  <c r="F95" i="3"/>
  <c r="D41" i="5"/>
  <c r="E100" i="3"/>
  <c r="C42" i="5"/>
  <c r="F100" i="3"/>
  <c r="D42" i="5"/>
  <c r="E119" i="3"/>
  <c r="C43" i="5"/>
  <c r="F119" i="3"/>
  <c r="D43" i="5"/>
  <c r="E124" i="3"/>
  <c r="C32" i="5"/>
  <c r="F124" i="3"/>
  <c r="D32" i="5"/>
  <c r="E144" i="3"/>
  <c r="C33" i="5"/>
  <c r="F144" i="3"/>
  <c r="D33" i="5"/>
  <c r="E148" i="3"/>
  <c r="C44" i="5"/>
  <c r="F148" i="3"/>
  <c r="D44" i="5"/>
  <c r="E167" i="3"/>
  <c r="C45" i="5"/>
  <c r="F167" i="3"/>
  <c r="D45" i="5"/>
  <c r="E172" i="3"/>
  <c r="C46" i="5"/>
  <c r="F172" i="3"/>
  <c r="D46" i="5"/>
  <c r="D167" i="3"/>
  <c r="B45" i="5"/>
  <c r="D148" i="3"/>
  <c r="B44" i="5"/>
  <c r="D144" i="3"/>
  <c r="B33" i="5"/>
  <c r="D119" i="3"/>
  <c r="B43" i="5"/>
  <c r="D100" i="3"/>
  <c r="B42" i="5"/>
  <c r="D95" i="3"/>
  <c r="B41" i="5"/>
  <c r="D76" i="3"/>
  <c r="B40" i="5"/>
  <c r="D71" i="3"/>
  <c r="B39" i="5"/>
  <c r="D52" i="3"/>
  <c r="B38" i="5"/>
  <c r="D47" i="3"/>
  <c r="B37" i="5"/>
  <c r="D28" i="3"/>
  <c r="B36" i="5"/>
  <c r="D23" i="3"/>
  <c r="B34" i="5"/>
  <c r="D172" i="3"/>
  <c r="B46" i="5"/>
  <c r="D124" i="3"/>
  <c r="B32" i="5"/>
  <c r="B35" i="5"/>
  <c r="E24" i="3"/>
  <c r="C4" i="5"/>
  <c r="F24" i="3"/>
  <c r="D4" i="5"/>
  <c r="E27" i="3"/>
  <c r="C15" i="5"/>
  <c r="F27" i="3"/>
  <c r="D15" i="5"/>
  <c r="E48" i="3"/>
  <c r="C2" i="5"/>
  <c r="F48" i="3"/>
  <c r="D2" i="5"/>
  <c r="E51" i="3"/>
  <c r="C8" i="5"/>
  <c r="F51" i="3"/>
  <c r="D8" i="5"/>
  <c r="E72" i="3"/>
  <c r="C11" i="5"/>
  <c r="F72" i="3"/>
  <c r="D11" i="5"/>
  <c r="E75" i="3"/>
  <c r="C9" i="5"/>
  <c r="F75" i="3"/>
  <c r="D9" i="5"/>
  <c r="E96" i="3"/>
  <c r="C6" i="5"/>
  <c r="F96" i="3"/>
  <c r="D6" i="5"/>
  <c r="E99" i="3"/>
  <c r="C3" i="5"/>
  <c r="F99" i="3"/>
  <c r="D3" i="5"/>
  <c r="E120" i="3"/>
  <c r="C13" i="5"/>
  <c r="F120" i="3"/>
  <c r="D13" i="5"/>
  <c r="E123" i="3"/>
  <c r="C14" i="5"/>
  <c r="F123" i="3"/>
  <c r="D14" i="5"/>
  <c r="C16" i="5"/>
  <c r="D16" i="5"/>
  <c r="E147" i="3"/>
  <c r="C7" i="5"/>
  <c r="F147" i="3"/>
  <c r="D7" i="5"/>
  <c r="E168" i="3"/>
  <c r="C5" i="5"/>
  <c r="F168" i="3"/>
  <c r="D5" i="5"/>
  <c r="E171" i="3"/>
  <c r="C12" i="5"/>
  <c r="F171" i="3"/>
  <c r="D12" i="5"/>
  <c r="D99" i="3"/>
  <c r="B3" i="5"/>
  <c r="D171" i="3"/>
  <c r="B12" i="5"/>
  <c r="D168" i="3"/>
  <c r="B5" i="5"/>
  <c r="D147" i="3"/>
  <c r="B7" i="5"/>
  <c r="B16" i="5"/>
  <c r="D123" i="3"/>
  <c r="B14" i="5"/>
  <c r="D120" i="3"/>
  <c r="B13" i="5"/>
  <c r="D96" i="3"/>
  <c r="B6" i="5"/>
  <c r="D75" i="3"/>
  <c r="B9" i="5"/>
  <c r="D72" i="3"/>
  <c r="B11" i="5"/>
  <c r="D51" i="3"/>
  <c r="B8" i="5"/>
  <c r="D48" i="3"/>
  <c r="B2" i="5"/>
  <c r="D27" i="3"/>
  <c r="B15" i="5"/>
  <c r="D24" i="3"/>
  <c r="B4" i="5"/>
  <c r="E3" i="3"/>
  <c r="C10" i="5"/>
  <c r="F3" i="3"/>
  <c r="D10" i="5"/>
  <c r="B10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06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76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17" i="5"/>
  <c r="A137" i="5"/>
  <c r="A122" i="5"/>
  <c r="A107" i="5"/>
  <c r="A92" i="5"/>
  <c r="A77" i="5"/>
  <c r="A62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47" i="5"/>
  <c r="A34" i="5"/>
  <c r="A36" i="5"/>
  <c r="A37" i="5"/>
  <c r="A38" i="5"/>
  <c r="A39" i="5"/>
  <c r="A40" i="5"/>
  <c r="A41" i="5"/>
  <c r="A42" i="5"/>
  <c r="A43" i="5"/>
  <c r="A32" i="5"/>
  <c r="A33" i="5"/>
  <c r="A44" i="5"/>
  <c r="A45" i="5"/>
  <c r="A46" i="5"/>
  <c r="A35" i="5"/>
  <c r="A12" i="5"/>
  <c r="A4" i="5"/>
  <c r="A15" i="5"/>
  <c r="A2" i="5"/>
  <c r="A8" i="5"/>
  <c r="A11" i="5"/>
  <c r="A9" i="5"/>
  <c r="A6" i="5"/>
  <c r="A3" i="5"/>
  <c r="A13" i="5"/>
  <c r="A14" i="5"/>
  <c r="A16" i="5"/>
  <c r="A7" i="5"/>
  <c r="A5" i="5"/>
  <c r="A10" i="5"/>
  <c r="E63" i="3"/>
  <c r="E143" i="3"/>
  <c r="C24" i="3"/>
  <c r="C27" i="3"/>
  <c r="C48" i="3"/>
  <c r="C51" i="3"/>
  <c r="C72" i="3"/>
  <c r="C75" i="3"/>
  <c r="C96" i="3"/>
  <c r="C99" i="3"/>
  <c r="C120" i="3"/>
  <c r="C123" i="3"/>
  <c r="C144" i="3"/>
  <c r="C147" i="3"/>
  <c r="C168" i="3"/>
  <c r="C171" i="3"/>
  <c r="C23" i="3"/>
  <c r="C28" i="3"/>
  <c r="C47" i="3"/>
  <c r="C52" i="3"/>
  <c r="C71" i="3"/>
  <c r="C76" i="3"/>
  <c r="C95" i="3"/>
  <c r="C100" i="3"/>
  <c r="C119" i="3"/>
  <c r="C124" i="3"/>
  <c r="C143" i="3"/>
  <c r="C148" i="3"/>
  <c r="C167" i="3"/>
  <c r="C172" i="3"/>
  <c r="C22" i="3"/>
  <c r="C29" i="3"/>
  <c r="C46" i="3"/>
  <c r="C53" i="3"/>
  <c r="C70" i="3"/>
  <c r="C77" i="3"/>
  <c r="C94" i="3"/>
  <c r="C101" i="3"/>
  <c r="C118" i="3"/>
  <c r="C125" i="3"/>
  <c r="C142" i="3"/>
  <c r="C149" i="3"/>
  <c r="C166" i="3"/>
  <c r="C173" i="3"/>
  <c r="C21" i="3"/>
  <c r="C30" i="3"/>
  <c r="C45" i="3"/>
  <c r="C54" i="3"/>
  <c r="C69" i="3"/>
  <c r="C78" i="3"/>
  <c r="C93" i="3"/>
  <c r="C102" i="3"/>
  <c r="C117" i="3"/>
  <c r="C126" i="3"/>
  <c r="C141" i="3"/>
  <c r="C150" i="3"/>
  <c r="C165" i="3"/>
  <c r="C174" i="3"/>
  <c r="C20" i="3"/>
  <c r="C31" i="3"/>
  <c r="C44" i="3"/>
  <c r="C55" i="3"/>
  <c r="C68" i="3"/>
  <c r="C79" i="3"/>
  <c r="C92" i="3"/>
  <c r="C103" i="3"/>
  <c r="C116" i="3"/>
  <c r="C127" i="3"/>
  <c r="C140" i="3"/>
  <c r="C151" i="3"/>
  <c r="C164" i="3"/>
  <c r="C175" i="3"/>
  <c r="A9" i="4"/>
  <c r="C15" i="3"/>
  <c r="C16" i="3"/>
  <c r="C17" i="3"/>
  <c r="C18" i="3"/>
  <c r="C19" i="3"/>
  <c r="C32" i="3"/>
  <c r="C33" i="3"/>
  <c r="C34" i="3"/>
  <c r="C35" i="3"/>
  <c r="C36" i="3"/>
  <c r="C39" i="3"/>
  <c r="C40" i="3"/>
  <c r="C41" i="3"/>
  <c r="C42" i="3"/>
  <c r="C43" i="3"/>
  <c r="C56" i="3"/>
  <c r="C57" i="3"/>
  <c r="C58" i="3"/>
  <c r="C59" i="3"/>
  <c r="C60" i="3"/>
  <c r="C63" i="3"/>
  <c r="C64" i="3"/>
  <c r="C65" i="3"/>
  <c r="C66" i="3"/>
  <c r="C67" i="3"/>
  <c r="C80" i="3"/>
  <c r="C81" i="3"/>
  <c r="C82" i="3"/>
  <c r="C83" i="3"/>
  <c r="C84" i="3"/>
  <c r="C87" i="3"/>
  <c r="C88" i="3"/>
  <c r="C89" i="3"/>
  <c r="C90" i="3"/>
  <c r="C91" i="3"/>
  <c r="C104" i="3"/>
  <c r="C105" i="3"/>
  <c r="C106" i="3"/>
  <c r="C107" i="3"/>
  <c r="C108" i="3"/>
  <c r="C111" i="3"/>
  <c r="C112" i="3"/>
  <c r="C113" i="3"/>
  <c r="C114" i="3"/>
  <c r="C115" i="3"/>
  <c r="C128" i="3"/>
  <c r="C129" i="3"/>
  <c r="C130" i="3"/>
  <c r="C131" i="3"/>
  <c r="C132" i="3"/>
  <c r="C135" i="3"/>
  <c r="C136" i="3"/>
  <c r="C137" i="3"/>
  <c r="C138" i="3"/>
  <c r="C139" i="3"/>
  <c r="C152" i="3"/>
  <c r="C153" i="3"/>
  <c r="C154" i="3"/>
  <c r="C155" i="3"/>
  <c r="C156" i="3"/>
  <c r="C159" i="3"/>
  <c r="C160" i="3"/>
  <c r="C161" i="3"/>
  <c r="C162" i="3"/>
  <c r="C163" i="3"/>
  <c r="C176" i="3"/>
  <c r="C177" i="3"/>
  <c r="C178" i="3"/>
  <c r="C179" i="3"/>
  <c r="C180" i="3"/>
  <c r="E9" i="4"/>
  <c r="A3" i="4"/>
  <c r="B3" i="4"/>
  <c r="C3" i="4"/>
  <c r="D3" i="4"/>
  <c r="E3" i="4"/>
  <c r="F3" i="4"/>
  <c r="G3" i="4"/>
  <c r="A4" i="4"/>
  <c r="B4" i="4"/>
  <c r="C4" i="4"/>
  <c r="D4" i="4"/>
  <c r="E4" i="4"/>
  <c r="F4" i="4"/>
  <c r="G4" i="4"/>
  <c r="A5" i="4"/>
  <c r="B5" i="4"/>
  <c r="C5" i="4"/>
  <c r="D5" i="4"/>
  <c r="E5" i="4"/>
  <c r="F5" i="4"/>
  <c r="G5" i="4"/>
  <c r="A6" i="4"/>
  <c r="B6" i="4"/>
  <c r="C6" i="4"/>
  <c r="D6" i="4"/>
  <c r="E6" i="4"/>
  <c r="F6" i="4"/>
  <c r="G6" i="4"/>
  <c r="A7" i="4"/>
  <c r="B7" i="4"/>
  <c r="C7" i="4"/>
  <c r="D7" i="4"/>
  <c r="E7" i="4"/>
  <c r="F7" i="4"/>
  <c r="G7" i="4"/>
  <c r="A8" i="4"/>
  <c r="B8" i="4"/>
  <c r="C8" i="4"/>
  <c r="D8" i="4"/>
  <c r="E8" i="4"/>
  <c r="F8" i="4"/>
  <c r="G8" i="4"/>
  <c r="B9" i="4"/>
  <c r="C9" i="4"/>
  <c r="D9" i="4"/>
  <c r="F9" i="4"/>
  <c r="G9" i="4"/>
  <c r="A10" i="4"/>
  <c r="B10" i="4"/>
  <c r="C10" i="4"/>
  <c r="D10" i="4"/>
  <c r="E10" i="4"/>
  <c r="F10" i="4"/>
  <c r="G10" i="4"/>
  <c r="A11" i="4"/>
  <c r="B11" i="4"/>
  <c r="C11" i="4"/>
  <c r="D11" i="4"/>
  <c r="E11" i="4"/>
  <c r="F11" i="4"/>
  <c r="G11" i="4"/>
  <c r="A2" i="4"/>
  <c r="G2" i="4"/>
  <c r="F2" i="4"/>
  <c r="E2" i="4"/>
  <c r="D2" i="4"/>
  <c r="C2" i="4"/>
  <c r="B2" i="4"/>
  <c r="D63" i="3"/>
  <c r="D143" i="3"/>
  <c r="F143" i="3"/>
  <c r="F63" i="3"/>
</calcChain>
</file>

<file path=xl/sharedStrings.xml><?xml version="1.0" encoding="utf-8"?>
<sst xmlns="http://schemas.openxmlformats.org/spreadsheetml/2006/main" count="1585" uniqueCount="559">
  <si>
    <t>ID</t>
  </si>
  <si>
    <t>Player</t>
  </si>
  <si>
    <t>Position</t>
  </si>
  <si>
    <t>Team</t>
  </si>
  <si>
    <t>QB</t>
  </si>
  <si>
    <t>Seahawks</t>
  </si>
  <si>
    <t>Drew Brees</t>
  </si>
  <si>
    <t>Saints</t>
  </si>
  <si>
    <t>Robert Griffin III</t>
  </si>
  <si>
    <t>Tom Brady</t>
  </si>
  <si>
    <t>Patriots</t>
  </si>
  <si>
    <t>Aaron Rodgers</t>
  </si>
  <si>
    <t>Packers</t>
  </si>
  <si>
    <t>Andrew Luck</t>
  </si>
  <si>
    <t>Colts</t>
  </si>
  <si>
    <t>Broncos</t>
  </si>
  <si>
    <t>Colin Kaepernick</t>
  </si>
  <si>
    <t>49'ers</t>
  </si>
  <si>
    <t>Pick</t>
  </si>
  <si>
    <t>Fantasy Team</t>
  </si>
  <si>
    <t>ROUND 1</t>
  </si>
  <si>
    <t>Cam Newton</t>
  </si>
  <si>
    <t>Peyton Manning</t>
  </si>
  <si>
    <t>Matt Ryan</t>
  </si>
  <si>
    <t>Tony Romo</t>
  </si>
  <si>
    <t>Matthew Stafford</t>
  </si>
  <si>
    <t>Russell Wilson</t>
  </si>
  <si>
    <t>Andy Dalton</t>
  </si>
  <si>
    <t>Eli Manning</t>
  </si>
  <si>
    <t>Sam Bradford</t>
  </si>
  <si>
    <t>Joe Flacco</t>
  </si>
  <si>
    <t>Carson Palmer</t>
  </si>
  <si>
    <t>Ben Roethlisberger</t>
  </si>
  <si>
    <t>Ryan Fitzpatrick</t>
  </si>
  <si>
    <t>Philip Rivers</t>
  </si>
  <si>
    <t>Ryan Tannehill</t>
  </si>
  <si>
    <t>Jay Cutler</t>
  </si>
  <si>
    <t>Brandon Weeden</t>
  </si>
  <si>
    <t>Alex Smith</t>
  </si>
  <si>
    <t>Mark Sanchez</t>
  </si>
  <si>
    <t>Chad Henne</t>
  </si>
  <si>
    <t>Blaine Gabbert</t>
  </si>
  <si>
    <t>Nick Foles</t>
  </si>
  <si>
    <t>EJ Manuel</t>
  </si>
  <si>
    <t>Geno Smith</t>
  </si>
  <si>
    <t>Panthers</t>
  </si>
  <si>
    <t>Falcons</t>
  </si>
  <si>
    <t>Cowboys</t>
  </si>
  <si>
    <t>Lions</t>
  </si>
  <si>
    <t>Buccaneers</t>
  </si>
  <si>
    <t>Bengals</t>
  </si>
  <si>
    <t>Giants</t>
  </si>
  <si>
    <t>Rams</t>
  </si>
  <si>
    <t>Ravens</t>
  </si>
  <si>
    <t>Cardinals</t>
  </si>
  <si>
    <t>Texans</t>
  </si>
  <si>
    <t>Steelers</t>
  </si>
  <si>
    <t>Titans</t>
  </si>
  <si>
    <t>Chargers</t>
  </si>
  <si>
    <t>Vikings</t>
  </si>
  <si>
    <t>Dolphins</t>
  </si>
  <si>
    <t>Bears</t>
  </si>
  <si>
    <t>Browns</t>
  </si>
  <si>
    <t>Eagles</t>
  </si>
  <si>
    <t>Chiefs</t>
  </si>
  <si>
    <t>Jets</t>
  </si>
  <si>
    <t>Jaguars</t>
  </si>
  <si>
    <t>Kirk Cousins</t>
  </si>
  <si>
    <t>Raiders</t>
  </si>
  <si>
    <t>Bills</t>
  </si>
  <si>
    <t>RB</t>
  </si>
  <si>
    <t>WR</t>
  </si>
  <si>
    <t>TE</t>
  </si>
  <si>
    <t>K</t>
  </si>
  <si>
    <t>Justin Tucker</t>
  </si>
  <si>
    <t>Matt Prater</t>
  </si>
  <si>
    <t>Josh Brown</t>
  </si>
  <si>
    <t>Steven Hauschka</t>
  </si>
  <si>
    <t>Josh Scobee</t>
  </si>
  <si>
    <t>Kai Forbath</t>
  </si>
  <si>
    <t>Blair Walsh</t>
  </si>
  <si>
    <t>Phil Dawson</t>
  </si>
  <si>
    <t>Matt Bryant</t>
  </si>
  <si>
    <t>Stephen Gostkowski</t>
  </si>
  <si>
    <t>Mason Crosby</t>
  </si>
  <si>
    <t>Adam Vinatieri</t>
  </si>
  <si>
    <t>Dan Bailey</t>
  </si>
  <si>
    <t>Sebastian Janikowski</t>
  </si>
  <si>
    <t>Dan Carpenter</t>
  </si>
  <si>
    <t>Nick Folk</t>
  </si>
  <si>
    <t>Nick Novak</t>
  </si>
  <si>
    <t>Ryan Succop</t>
  </si>
  <si>
    <t>Robbie Gould</t>
  </si>
  <si>
    <t>Shaun Suisham</t>
  </si>
  <si>
    <t>Mike Nugent</t>
  </si>
  <si>
    <t>Graham Gano</t>
  </si>
  <si>
    <t>Connor Barth</t>
  </si>
  <si>
    <t>Randy Bullock</t>
  </si>
  <si>
    <t>D/ST</t>
  </si>
  <si>
    <t>Houston Texans</t>
  </si>
  <si>
    <t>Chicago Bears</t>
  </si>
  <si>
    <t>New England Patriots</t>
  </si>
  <si>
    <t>Seattle Seahawks</t>
  </si>
  <si>
    <t>San Francisco 49'ers</t>
  </si>
  <si>
    <t>Denver Broncos</t>
  </si>
  <si>
    <t>Arizona Cardinals</t>
  </si>
  <si>
    <t>St. Louis Rams</t>
  </si>
  <si>
    <t>Baltimore Ravens</t>
  </si>
  <si>
    <t>Cleveland Browns</t>
  </si>
  <si>
    <t>Green Bay Packers</t>
  </si>
  <si>
    <t>San Diego Chargers</t>
  </si>
  <si>
    <t>Cincinnati Bengals</t>
  </si>
  <si>
    <t>New York Giants</t>
  </si>
  <si>
    <t>New Orleans Saints</t>
  </si>
  <si>
    <t>Carolina Panthers</t>
  </si>
  <si>
    <t>Minnesota Vikings</t>
  </si>
  <si>
    <t>Atlanta Falcons</t>
  </si>
  <si>
    <t>Tampa Bay Buccaneers</t>
  </si>
  <si>
    <t>Pittsburgh Steelers</t>
  </si>
  <si>
    <t>Indianapolis Colts</t>
  </si>
  <si>
    <t>Dallas Cowboys</t>
  </si>
  <si>
    <t>Buffalo Bills</t>
  </si>
  <si>
    <t>Kansas City Chiefs</t>
  </si>
  <si>
    <t>Detroit Lions</t>
  </si>
  <si>
    <t>Tennessee Titans</t>
  </si>
  <si>
    <t>Miami Dolphins</t>
  </si>
  <si>
    <t>New York Jets</t>
  </si>
  <si>
    <t>Oakland Raiders</t>
  </si>
  <si>
    <t>Philadelphia Eagles</t>
  </si>
  <si>
    <t>Jacksonville Jaguars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</si>
  <si>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</si>
  <si>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</si>
  <si>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</si>
  <si>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</si>
  <si>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</si>
  <si>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</si>
  <si>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</si>
  <si>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</si>
  <si>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</si>
  <si>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ROUND 11</t>
  </si>
  <si>
    <t>ROUND 12</t>
  </si>
  <si>
    <t>ROUND 13</t>
  </si>
  <si>
    <t>ROUND 14</t>
  </si>
  <si>
    <t>ROUND 15</t>
  </si>
  <si>
    <t>Greg Zuerlein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</si>
  <si>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</si>
  <si>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</si>
  <si>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</si>
  <si>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</si>
  <si>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</si>
  <si>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</si>
  <si>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</si>
  <si>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</si>
  <si>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</si>
  <si>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</si>
  <si>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Josh McCown</t>
  </si>
  <si>
    <t>Matt Schaub</t>
  </si>
  <si>
    <t>Matt Cassel</t>
  </si>
  <si>
    <t>Teddy Bridgewater</t>
  </si>
  <si>
    <t>Brian Hoyer</t>
  </si>
  <si>
    <t>Mike Glennon</t>
  </si>
  <si>
    <t>Blake Bortles</t>
  </si>
  <si>
    <t>Shaun Hill</t>
  </si>
  <si>
    <t>Derek Carr</t>
  </si>
  <si>
    <t>Caleb Sturgis</t>
  </si>
  <si>
    <t>Washington FC</t>
  </si>
  <si>
    <t xml:space="preserve"> </t>
  </si>
  <si>
    <t>Cody Parkey</t>
  </si>
  <si>
    <t>Cairo Santos</t>
  </si>
  <si>
    <t>Dustin Hopkins</t>
  </si>
  <si>
    <t>Patrick Murray</t>
  </si>
  <si>
    <t>Chandler Cantanzaro</t>
  </si>
  <si>
    <t>Garrett Hartley</t>
  </si>
  <si>
    <t>Derek Anderson</t>
  </si>
  <si>
    <t>Jimmy Clausen</t>
  </si>
  <si>
    <t>Chase Daniel</t>
  </si>
  <si>
    <t>B.J. Daniels</t>
  </si>
  <si>
    <t>Austin Davis</t>
  </si>
  <si>
    <t>Jimmy Garoppolo</t>
  </si>
  <si>
    <t>Bruce Gradkowski</t>
  </si>
  <si>
    <t>Matt Hasselbeck</t>
  </si>
  <si>
    <t>Ryan Mallett</t>
  </si>
  <si>
    <t>Johnny Manziel</t>
  </si>
  <si>
    <t>Marcus Mariota</t>
  </si>
  <si>
    <t>A.J. McCarron</t>
  </si>
  <si>
    <t>Matt McGloin</t>
  </si>
  <si>
    <t>Zach Mettenberger</t>
  </si>
  <si>
    <t>Ryan Nassib</t>
  </si>
  <si>
    <t>Dan Orlovsky</t>
  </si>
  <si>
    <t>Brock Osweiler</t>
  </si>
  <si>
    <t>Drew Stanton</t>
  </si>
  <si>
    <t>Scott Tolzien</t>
  </si>
  <si>
    <t>Jameis Winston</t>
  </si>
  <si>
    <t>Kellen Clemens</t>
  </si>
  <si>
    <t>Luke McCown</t>
  </si>
  <si>
    <t>Matt Moore</t>
  </si>
  <si>
    <t>TJ Yates</t>
  </si>
  <si>
    <t>Dwayne Allen</t>
  </si>
  <si>
    <t>Jace Amaro</t>
  </si>
  <si>
    <t>Gary Barnidge</t>
  </si>
  <si>
    <t>Martellus Bennett</t>
  </si>
  <si>
    <t>Jordan Cameron</t>
  </si>
  <si>
    <t>Brent Celek</t>
  </si>
  <si>
    <t>Scott Chandler</t>
  </si>
  <si>
    <t>Charles Clay</t>
  </si>
  <si>
    <t>Jared Cook</t>
  </si>
  <si>
    <t>Jeff Cumberland</t>
  </si>
  <si>
    <t>Owen Daniels</t>
  </si>
  <si>
    <t>Vernon Davis</t>
  </si>
  <si>
    <t>Ed Dickson</t>
  </si>
  <si>
    <t>Larry Donnell</t>
  </si>
  <si>
    <t>Eric Ebron</t>
  </si>
  <si>
    <t>Tyler Eifert</t>
  </si>
  <si>
    <t>Zach Ertz</t>
  </si>
  <si>
    <t>Gavin Escobar</t>
  </si>
  <si>
    <t>Anthony Fasano</t>
  </si>
  <si>
    <t>Daniel Fells</t>
  </si>
  <si>
    <t>Darren Fells</t>
  </si>
  <si>
    <t>Coby Fleener</t>
  </si>
  <si>
    <t>Antonio Gates</t>
  </si>
  <si>
    <t>Crockett Gillmore</t>
  </si>
  <si>
    <t>Garrett Graham</t>
  </si>
  <si>
    <t>Jimmy Graham</t>
  </si>
  <si>
    <t>Ladarius Green</t>
  </si>
  <si>
    <t>Virgil Green</t>
  </si>
  <si>
    <t>Ryan Griffin</t>
  </si>
  <si>
    <t>Rob Gronkowski</t>
  </si>
  <si>
    <t>Josh Hill</t>
  </si>
  <si>
    <t>Rob Housler</t>
  </si>
  <si>
    <t>Travis Kelce</t>
  </si>
  <si>
    <t>Lance Kendricks</t>
  </si>
  <si>
    <t>Tyler Kroft</t>
  </si>
  <si>
    <t>Marcedes Lewis</t>
  </si>
  <si>
    <t>Vance McDonald</t>
  </si>
  <si>
    <t>Heath Miller</t>
  </si>
  <si>
    <t>Tony Moeaki</t>
  </si>
  <si>
    <t>Brandon Myers</t>
  </si>
  <si>
    <t>Troy Niklas</t>
  </si>
  <si>
    <t>Greg Olsen</t>
  </si>
  <si>
    <t>Niles Paul</t>
  </si>
  <si>
    <t>Logan Paulsen</t>
  </si>
  <si>
    <t>Dennis Pitta</t>
  </si>
  <si>
    <t>Andrew Quarless</t>
  </si>
  <si>
    <t>Jordan Reed</t>
  </si>
  <si>
    <t>Mychal Rivera</t>
  </si>
  <si>
    <t>Richard Rodgers</t>
  </si>
  <si>
    <t>Dante Rosario</t>
  </si>
  <si>
    <t>Kyle Rudolph</t>
  </si>
  <si>
    <t>Austin Seferian-Jenkins</t>
  </si>
  <si>
    <t>Dion Sims</t>
  </si>
  <si>
    <t>Jacob Tamme</t>
  </si>
  <si>
    <t>Julius Thomas</t>
  </si>
  <si>
    <t>Levine Toilolo</t>
  </si>
  <si>
    <t>Clive Walford</t>
  </si>
  <si>
    <t>Delanie Walker</t>
  </si>
  <si>
    <t>Ben Watson</t>
  </si>
  <si>
    <t>Maxx Williams</t>
  </si>
  <si>
    <t>Luke Willson</t>
  </si>
  <si>
    <t>Jason Witten</t>
  </si>
  <si>
    <t>Tim Wright</t>
  </si>
  <si>
    <t>Kevin Brock</t>
  </si>
  <si>
    <t>Jack Doyle</t>
  </si>
  <si>
    <t>Rhett Ellison</t>
  </si>
  <si>
    <t>Joseph Fauria</t>
  </si>
  <si>
    <t>C.J. Fiedorowicz</t>
  </si>
  <si>
    <t>MarQueis Gray</t>
  </si>
  <si>
    <t>James Hanna</t>
  </si>
  <si>
    <t>Clay Harbor</t>
  </si>
  <si>
    <t>Demetrius Harris</t>
  </si>
  <si>
    <t>Cooper Helfet</t>
  </si>
  <si>
    <t>Jeff Heuerman</t>
  </si>
  <si>
    <t>Jesse James</t>
  </si>
  <si>
    <t>Brandon Pettigrew</t>
  </si>
  <si>
    <t>Adrian Robinson</t>
  </si>
  <si>
    <t>Matt Spaeth</t>
  </si>
  <si>
    <t>Craig Stevens</t>
  </si>
  <si>
    <t>Luke Stocker</t>
  </si>
  <si>
    <t>Zach Sudfeld</t>
  </si>
  <si>
    <t>Brandon Williams</t>
  </si>
  <si>
    <t>Ameer Abdullah</t>
  </si>
  <si>
    <t>Jay Ajayi</t>
  </si>
  <si>
    <t>Javorius Allen</t>
  </si>
  <si>
    <t>C.J. Anderson</t>
  </si>
  <si>
    <t>Dri Archer</t>
  </si>
  <si>
    <t>Matt Asiata</t>
  </si>
  <si>
    <t>Montee Ball</t>
  </si>
  <si>
    <t>Joique Bell</t>
  </si>
  <si>
    <t>LeVeon Bell</t>
  </si>
  <si>
    <t>Giovani Bernard</t>
  </si>
  <si>
    <t>LeGarrette Blount</t>
  </si>
  <si>
    <t>Alfred Blue</t>
  </si>
  <si>
    <t>Brandon Bolden</t>
  </si>
  <si>
    <t>Donald Brown</t>
  </si>
  <si>
    <t>Reggie Bush</t>
  </si>
  <si>
    <t>Travaris Cadet</t>
  </si>
  <si>
    <t>Ka'Deem Carey</t>
  </si>
  <si>
    <t>Jamaal Charles</t>
  </si>
  <si>
    <t>David Cobb</t>
  </si>
  <si>
    <t>Tevin Coleman</t>
  </si>
  <si>
    <t>Isaiah Crowell</t>
  </si>
  <si>
    <t>Benny Cunningham</t>
  </si>
  <si>
    <t>Knile Davis</t>
  </si>
  <si>
    <t>Anthony Dixon</t>
  </si>
  <si>
    <t>Lance Dunbar</t>
  </si>
  <si>
    <t>Andre Ellington</t>
  </si>
  <si>
    <t>Justin Forsett</t>
  </si>
  <si>
    <t>Matt Forte</t>
  </si>
  <si>
    <t>Arian Foster</t>
  </si>
  <si>
    <t>Devonta Freeman</t>
  </si>
  <si>
    <t>Toby Gerhart</t>
  </si>
  <si>
    <t>Melvin Gordon</t>
  </si>
  <si>
    <t>Frank Gore</t>
  </si>
  <si>
    <t>Jonas Gray</t>
  </si>
  <si>
    <t>Shonn Greene</t>
  </si>
  <si>
    <t>Jonathan Grimes</t>
  </si>
  <si>
    <t>Todd Gurley</t>
  </si>
  <si>
    <t>Roy Helu</t>
  </si>
  <si>
    <t>Dan Herron</t>
  </si>
  <si>
    <t>Jeremy Hill</t>
  </si>
  <si>
    <t>Ronnie Hillman</t>
  </si>
  <si>
    <t>Kendall Hunter</t>
  </si>
  <si>
    <t>Carlos Hyde</t>
  </si>
  <si>
    <t>Mark Ingram</t>
  </si>
  <si>
    <t>Chris Ivory</t>
  </si>
  <si>
    <t>Fred Jackson</t>
  </si>
  <si>
    <t>Rashad Jennings</t>
  </si>
  <si>
    <t>David Johnson</t>
  </si>
  <si>
    <t>Duke Johnson</t>
  </si>
  <si>
    <t>Matt Jones</t>
  </si>
  <si>
    <t>Kyle Juszczyk</t>
  </si>
  <si>
    <t>John Kuhn</t>
  </si>
  <si>
    <t>Eddie Lacy</t>
  </si>
  <si>
    <t>Marshawn Lynch</t>
  </si>
  <si>
    <t>Doug Martin</t>
  </si>
  <si>
    <t>Tre Mason</t>
  </si>
  <si>
    <t>Ryan Mathews</t>
  </si>
  <si>
    <t>Dexter McCluster</t>
  </si>
  <si>
    <t>LeSean McCoy</t>
  </si>
  <si>
    <t>Darren McFadden</t>
  </si>
  <si>
    <t>Jerrick McKinnon</t>
  </si>
  <si>
    <t>Christine Michael</t>
  </si>
  <si>
    <t>Lamar Miller</t>
  </si>
  <si>
    <t>Alfred Morris</t>
  </si>
  <si>
    <t>DeMarco Murray</t>
  </si>
  <si>
    <t>Latavius Murray</t>
  </si>
  <si>
    <t>Branden Oliver</t>
  </si>
  <si>
    <t>Adrian Peterson</t>
  </si>
  <si>
    <t>Bernard Pierce</t>
  </si>
  <si>
    <t>Bilal Powell</t>
  </si>
  <si>
    <t>Bobby Rainey</t>
  </si>
  <si>
    <t>Joseph Randle</t>
  </si>
  <si>
    <t>Silas Redd</t>
  </si>
  <si>
    <t>Marcel Reece</t>
  </si>
  <si>
    <t>Trent Richardson</t>
  </si>
  <si>
    <t>Theo Riddick</t>
  </si>
  <si>
    <t>Stevan Ridley</t>
  </si>
  <si>
    <t>Denard Robinson</t>
  </si>
  <si>
    <t>Khiry Robinson</t>
  </si>
  <si>
    <t>Jacquizz Rodgers</t>
  </si>
  <si>
    <t>Bishop Sankey</t>
  </si>
  <si>
    <t>Charles Sims</t>
  </si>
  <si>
    <t>Antone Smith</t>
  </si>
  <si>
    <t>C.J. Spiller</t>
  </si>
  <si>
    <t>Darren Sproles</t>
  </si>
  <si>
    <t>Zac Stacy</t>
  </si>
  <si>
    <t>James Starks</t>
  </si>
  <si>
    <t>Jonathan Stewart</t>
  </si>
  <si>
    <t>Lorenzo Taliaferro</t>
  </si>
  <si>
    <t>Stepfan Taylor</t>
  </si>
  <si>
    <t>De'Anthony Thomas</t>
  </si>
  <si>
    <t>Zurlon Tipton</t>
  </si>
  <si>
    <t>Jordan Todman</t>
  </si>
  <si>
    <t>Mike Tolbert</t>
  </si>
  <si>
    <t>Robert Turbin</t>
  </si>
  <si>
    <t>Shane Vereen</t>
  </si>
  <si>
    <t>Terrance West</t>
  </si>
  <si>
    <t>Fozzy Whitaker</t>
  </si>
  <si>
    <t>James White</t>
  </si>
  <si>
    <t>Andre Williams</t>
  </si>
  <si>
    <t>Damien Williams</t>
  </si>
  <si>
    <t>DeAngelo Williams</t>
  </si>
  <si>
    <t>Kerwynn Williams</t>
  </si>
  <si>
    <t>Ryan Williams</t>
  </si>
  <si>
    <t>Danny Woodhead</t>
  </si>
  <si>
    <t>T.J. Yeldon</t>
  </si>
  <si>
    <t>Darrel Young</t>
  </si>
  <si>
    <t>Vick Ballard</t>
  </si>
  <si>
    <t>Tommy Bohanon</t>
  </si>
  <si>
    <t>Bryce Brown</t>
  </si>
  <si>
    <t>Patrick DiMarco</t>
  </si>
  <si>
    <t>Shaugn Draughn</t>
  </si>
  <si>
    <t>Jerome Felton</t>
  </si>
  <si>
    <t>Mike Gillislee</t>
  </si>
  <si>
    <t>DuJuan Harris</t>
  </si>
  <si>
    <t>Ryan Hewitt</t>
  </si>
  <si>
    <t>Robert Hughes</t>
  </si>
  <si>
    <t>Mike James</t>
  </si>
  <si>
    <t>Storm Johnson</t>
  </si>
  <si>
    <t>Will Johnson</t>
  </si>
  <si>
    <t>Bruce Miller</t>
  </si>
  <si>
    <t>Cedric Peerman</t>
  </si>
  <si>
    <t>Daryl Richardson</t>
  </si>
  <si>
    <t>Anthony Sherman</t>
  </si>
  <si>
    <t>Chris Thompson</t>
  </si>
  <si>
    <t>Davante Adams</t>
  </si>
  <si>
    <t>Nelson Agholor</t>
  </si>
  <si>
    <t>Kamar Aiken</t>
  </si>
  <si>
    <t>Keenan Allen</t>
  </si>
  <si>
    <t>Danny Amendola</t>
  </si>
  <si>
    <t>Miles Austin</t>
  </si>
  <si>
    <t>Tavon Austin</t>
  </si>
  <si>
    <t>Stedman Bailey</t>
  </si>
  <si>
    <t>Doug Baldwin</t>
  </si>
  <si>
    <t>Cole Beasley</t>
  </si>
  <si>
    <t>Odell Beckham</t>
  </si>
  <si>
    <t>Kenny Bell</t>
  </si>
  <si>
    <t>Kelvin Benjamin</t>
  </si>
  <si>
    <t>Travis Benjamin</t>
  </si>
  <si>
    <t>Anquan Boldin</t>
  </si>
  <si>
    <t>Dwayne Bowe</t>
  </si>
  <si>
    <t>Kenny Britt</t>
  </si>
  <si>
    <t>Antonio Brown</t>
  </si>
  <si>
    <t>Jaron Brown</t>
  </si>
  <si>
    <t>John Brown</t>
  </si>
  <si>
    <t>Marlon Brown</t>
  </si>
  <si>
    <t>Philly Brown</t>
  </si>
  <si>
    <t>Dez Bryant</t>
  </si>
  <si>
    <t>Martavis Bryant</t>
  </si>
  <si>
    <t>Andre Caldwell</t>
  </si>
  <si>
    <t>Michael Campanaro</t>
  </si>
  <si>
    <t>Duron Carter</t>
  </si>
  <si>
    <t>Sammie Coates</t>
  </si>
  <si>
    <t>Randall Cobb</t>
  </si>
  <si>
    <t>Brandon Coleman</t>
  </si>
  <si>
    <t>Marques Colston</t>
  </si>
  <si>
    <t>Chris Conley</t>
  </si>
  <si>
    <t>Brandin Cooks</t>
  </si>
  <si>
    <t>Amari Cooper</t>
  </si>
  <si>
    <t>Riley Cooper</t>
  </si>
  <si>
    <t>Jerricho Cotchery</t>
  </si>
  <si>
    <t>Michael Crabtree</t>
  </si>
  <si>
    <t>Jamison Crowder</t>
  </si>
  <si>
    <t>Victor Cruz</t>
  </si>
  <si>
    <t>Eric Decker</t>
  </si>
  <si>
    <t>Aaron Dobson</t>
  </si>
  <si>
    <t>Phillip Dorsett</t>
  </si>
  <si>
    <t>Harry Douglas</t>
  </si>
  <si>
    <t>Julian Edelman</t>
  </si>
  <si>
    <t>Bruce Ellington</t>
  </si>
  <si>
    <t>Mike Evans</t>
  </si>
  <si>
    <t>Larry Fitzgerald</t>
  </si>
  <si>
    <t>Malcom Floyd</t>
  </si>
  <si>
    <t>Michael Floyd</t>
  </si>
  <si>
    <t>Corey Fuller</t>
  </si>
  <si>
    <t>Devin Funchess</t>
  </si>
  <si>
    <t>Taylor Gabriel</t>
  </si>
  <si>
    <t>Pierre Garcon</t>
  </si>
  <si>
    <t>Brandon Gibson</t>
  </si>
  <si>
    <t>Chris Givens</t>
  </si>
  <si>
    <t>A.J. Green</t>
  </si>
  <si>
    <t>Dorial Green-Beckham</t>
  </si>
  <si>
    <t>Justin Hardy</t>
  </si>
  <si>
    <t>Dwayne Harris</t>
  </si>
  <si>
    <t>Brian Hartline</t>
  </si>
  <si>
    <t>Percy Harvin</t>
  </si>
  <si>
    <t>Andrew Hawkins</t>
  </si>
  <si>
    <t>Devin Hester</t>
  </si>
  <si>
    <t>T.Y. Hilton</t>
  </si>
  <si>
    <t>Chris Hogan</t>
  </si>
  <si>
    <t>Andre Holmes</t>
  </si>
  <si>
    <t>DeAndre Hopkins</t>
  </si>
  <si>
    <t>Josh Huff</t>
  </si>
  <si>
    <t>Justin Hunter</t>
  </si>
  <si>
    <t>Allen Hurns</t>
  </si>
  <si>
    <t>DeSean Jackson</t>
  </si>
  <si>
    <t>Vincent Jackson</t>
  </si>
  <si>
    <t>Alshon Jeffery</t>
  </si>
  <si>
    <t>Greg Jennings</t>
  </si>
  <si>
    <t>Andre Johnson</t>
  </si>
  <si>
    <t>Calvin Johnson</t>
  </si>
  <si>
    <t>Charles Johnson</t>
  </si>
  <si>
    <t>Steve Johnson</t>
  </si>
  <si>
    <t>Jacoby Jones</t>
  </si>
  <si>
    <t>Julio Jones</t>
  </si>
  <si>
    <t>Marvin Jones</t>
  </si>
  <si>
    <t>Seantavius Jones</t>
  </si>
  <si>
    <t>Jermaine Kearse</t>
  </si>
  <si>
    <t>Jeremy Kerley</t>
  </si>
  <si>
    <t>Brandon LaFell</t>
  </si>
  <si>
    <t>Jarvis Landry</t>
  </si>
  <si>
    <t>Cody Latimer</t>
  </si>
  <si>
    <t>Marqise Lee</t>
  </si>
  <si>
    <t>Tyler Lockett</t>
  </si>
  <si>
    <t>Jeremy Maclin</t>
  </si>
  <si>
    <t>Brandon Marshall</t>
  </si>
  <si>
    <t>Chris Matthews</t>
  </si>
  <si>
    <t>Jordan Matthews</t>
  </si>
  <si>
    <t>Donte Moncrief</t>
  </si>
  <si>
    <t>Denarius Moore</t>
  </si>
  <si>
    <t>Joseph Morgan</t>
  </si>
  <si>
    <t>Louis Murphy</t>
  </si>
  <si>
    <t>Jordy Nelson</t>
  </si>
  <si>
    <t>Hakeem Nicks</t>
  </si>
  <si>
    <t>DeVante Parker</t>
  </si>
  <si>
    <t>Cordarrelle Patterson</t>
  </si>
  <si>
    <t>Quinton Patton</t>
  </si>
  <si>
    <t>Breshard Perriman</t>
  </si>
  <si>
    <t>Brian Quick</t>
  </si>
  <si>
    <t>Rueben Randle</t>
  </si>
  <si>
    <t>Andre Roberts</t>
  </si>
  <si>
    <t>Allen Robinson</t>
  </si>
  <si>
    <t>Jeremy Ross</t>
  </si>
  <si>
    <t>Eddie Royal</t>
  </si>
  <si>
    <t>Ace Sanders</t>
  </si>
  <si>
    <t>Emmanuel Sanders</t>
  </si>
  <si>
    <t>Mohamed Sanu</t>
  </si>
  <si>
    <t>Cecil Shorts</t>
  </si>
  <si>
    <t>Devin Smith</t>
  </si>
  <si>
    <t>Steve Smith</t>
  </si>
  <si>
    <t>Torrey Smith</t>
  </si>
  <si>
    <t>Kenny Stills</t>
  </si>
  <si>
    <t>Rod Streater</t>
  </si>
  <si>
    <t>Devin Street</t>
  </si>
  <si>
    <t>Jaelen Strong</t>
  </si>
  <si>
    <t>Golden Tate</t>
  </si>
  <si>
    <t>Demaryius Thomas</t>
  </si>
  <si>
    <t>Nick Toon</t>
  </si>
  <si>
    <t>Mike Wallace</t>
  </si>
  <si>
    <t>Nate Washington</t>
  </si>
  <si>
    <t>Sammy Watkins</t>
  </si>
  <si>
    <t>Eric Weems</t>
  </si>
  <si>
    <t>Markus Wheaton</t>
  </si>
  <si>
    <t>Kevin White</t>
  </si>
  <si>
    <t>Roddy White</t>
  </si>
  <si>
    <t>Terrance Williams</t>
  </si>
  <si>
    <t>Albert Wilson</t>
  </si>
  <si>
    <t>Marquess Wilson</t>
  </si>
  <si>
    <t>Robert Woods</t>
  </si>
  <si>
    <t>Jarius Wright</t>
  </si>
  <si>
    <t>Kendall Wright</t>
  </si>
  <si>
    <t>Jared Abbrederis</t>
  </si>
  <si>
    <t>Jason Avant</t>
  </si>
  <si>
    <t>Jarrett Boykin</t>
  </si>
  <si>
    <t>Ryan Broyles</t>
  </si>
  <si>
    <t>Ted Ginn</t>
  </si>
  <si>
    <t>Marquise Goodwin</t>
  </si>
  <si>
    <t>Ryan Grant</t>
  </si>
  <si>
    <t>Junior Hemingway</t>
  </si>
  <si>
    <t>Robert Herron</t>
  </si>
  <si>
    <t>Darrius Heyward-Bey</t>
  </si>
  <si>
    <t>Jeff Janis</t>
  </si>
  <si>
    <t>Ricardo Lockette</t>
  </si>
  <si>
    <t>Rishard Matthews</t>
  </si>
  <si>
    <t>Ty Montgomery</t>
  </si>
  <si>
    <t>J.J. Nelson</t>
  </si>
  <si>
    <t>Jordan Norwood</t>
  </si>
  <si>
    <t>Jalen Saunders</t>
  </si>
  <si>
    <t>Jerome Simpson</t>
  </si>
  <si>
    <t>Brandon 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</si>
</sst>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Cambria"/>
      <family val="2"/>
      <scheme val="minor"/>
    </font>
    <font>
      <sz val="12"/>
      <color theme="1"/>
      <name val="Cambria"/>
      <family val="2"/>
      <scheme val="minor"/>
    </font>
    <font>
      <sz val="8"/>
      <name val="Cambria"/>
      <family val="2"/>
      <scheme val="minor"/>
    </font>
    <font>
      <u/>
      <sz val="12"/>
      <color theme="10"/>
      <name val="Cambria"/>
      <family val="2"/>
      <scheme val="minor"/>
    </font>
    <font>
      <u/>
      <sz val="12"/>
      <color theme="11"/>
      <name val="Cambria"/>
      <family val="2"/>
      <scheme val="minor"/>
    </font>
    <font>
      <b/>
      <sz val="24"/>
      <name val="Cambria"/>
      <scheme val="minor"/>
    </font>
    <font>
      <b/>
      <sz val="12"/>
      <color theme="1"/>
      <name val="Cambria"/>
      <family val="2"/>
      <scheme val="minor"/>
    </font>
    <font>
      <b/>
      <sz val="16"/>
      <name val="Cambria"/>
      <scheme val="minor"/>
    </font>
    <font>
      <b/>
      <sz val="12"/>
      <name val="Cambria"/>
      <scheme val="minor"/>
    </font>
    <font>
      <b/>
      <sz val="12"/>
      <color theme="4"/>
      <name val="Cambria"/>
      <scheme val="minor"/>
    </font>
    <font>
      <b/>
      <sz val="15"/>
      <color theme="3"/>
      <name val="Cambria"/>
      <family val="2"/>
      <scheme val="minor"/>
    </font>
    <font>
      <b/>
      <sz val="16"/>
      <color theme="1"/>
      <name val="Cambria"/>
      <scheme val="minor"/>
    </font>
    <font>
      <sz val="12"/>
      <name val="Cambria"/>
      <scheme val="minor"/>
    </font>
    <font>
      <b/>
      <sz val="16"/>
      <name val="Cambria"/>
    </font>
    <font>
      <sz val="10"/>
      <color indexed="8"/>
      <name val="MS Sans Serif"/>
      <family val="2"/>
    </font>
    <font>
      <b/>
      <sz val="12"/>
      <color theme="6"/>
      <name val="Cambria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4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9" fontId="1" fillId="0" borderId="0">
      <alignment horizontal="center"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8" fillId="4" borderId="0" xfId="0" applyFont="1" applyFill="1"/>
    <xf numFmtId="0" fontId="7" fillId="3" borderId="0" xfId="0" applyFont="1" applyFill="1"/>
    <xf numFmtId="0" fontId="8" fillId="3" borderId="0" xfId="0" applyFont="1" applyFill="1"/>
    <xf numFmtId="0" fontId="8" fillId="0" borderId="0" xfId="0" applyFont="1"/>
    <xf numFmtId="0" fontId="6" fillId="2" borderId="0" xfId="0" applyFont="1" applyFill="1"/>
    <xf numFmtId="0" fontId="6" fillId="0" borderId="0" xfId="0" applyFont="1"/>
    <xf numFmtId="0" fontId="6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2" borderId="0" xfId="0" applyFont="1" applyFill="1"/>
    <xf numFmtId="0" fontId="8" fillId="0" borderId="0" xfId="0" applyFont="1" applyFill="1"/>
    <xf numFmtId="0" fontId="0" fillId="5" borderId="0" xfId="0" applyFill="1"/>
    <xf numFmtId="0" fontId="8" fillId="0" borderId="0" xfId="0" applyFont="1" applyAlignment="1">
      <alignment horizontal="left"/>
    </xf>
    <xf numFmtId="0" fontId="8" fillId="0" borderId="0" xfId="0" applyNumberFormat="1" applyFont="1" applyAlignment="1">
      <alignment horizontal="left"/>
    </xf>
    <xf numFmtId="0" fontId="6" fillId="0" borderId="0" xfId="0" applyFont="1" applyFill="1"/>
    <xf numFmtId="0" fontId="11" fillId="5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7" fillId="9" borderId="0" xfId="0" applyNumberFormat="1" applyFont="1" applyFill="1" applyAlignment="1">
      <alignment horizontal="left"/>
    </xf>
    <xf numFmtId="0" fontId="7" fillId="9" borderId="0" xfId="0" applyFont="1" applyFill="1" applyAlignment="1">
      <alignment horizontal="center"/>
    </xf>
    <xf numFmtId="0" fontId="8" fillId="9" borderId="0" xfId="0" applyFont="1" applyFill="1"/>
    <xf numFmtId="0" fontId="7" fillId="7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49" fontId="7" fillId="10" borderId="0" xfId="80" applyNumberFormat="1" applyFont="1" applyFill="1" applyBorder="1" applyAlignment="1">
      <alignment horizontal="center" vertical="center"/>
    </xf>
    <xf numFmtId="0" fontId="12" fillId="10" borderId="0" xfId="0" applyFont="1" applyFill="1"/>
    <xf numFmtId="0" fontId="0" fillId="7" borderId="0" xfId="0" applyFill="1"/>
    <xf numFmtId="0" fontId="0" fillId="6" borderId="0" xfId="0" applyFill="1"/>
    <xf numFmtId="0" fontId="13" fillId="3" borderId="0" xfId="0" applyFont="1" applyFill="1"/>
    <xf numFmtId="0" fontId="5" fillId="2" borderId="0" xfId="0" applyFont="1" applyFill="1" applyAlignment="1">
      <alignment horizontal="center" vertical="center"/>
    </xf>
    <xf numFmtId="0" fontId="15" fillId="3" borderId="0" xfId="0" applyNumberFormat="1" applyFont="1" applyFill="1" applyAlignment="1">
      <alignment horizontal="left"/>
    </xf>
  </cellXfs>
  <cellStyles count="149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Heading 1" xfId="80" builtinId="16"/>
    <cellStyle name="Hyperlink" xfId="1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Normal" xfId="0" builtinId="0"/>
    <cellStyle name="Titles" xfId="7"/>
  </cellStyles>
  <dxfs count="4">
    <dxf>
      <font>
        <color theme="6"/>
      </font>
      <fill>
        <patternFill patternType="solid">
          <fgColor indexed="64"/>
          <bgColor theme="6"/>
        </patternFill>
      </fill>
    </dxf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5168" name="Button 1072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69" name="Button 1073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5170" name="Button 1074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71" name="Button 1075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72" name="Button 1076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5173" name="Button 1077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5174" name="Button 1078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5175" name="Button 1079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5176" name="Button 1080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77" name="Button 1081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5178" name="Button 1082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79" name="Button 1083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5180" name="Button 1084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5181" name="Button 1085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5182" name="Button 1086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83" name="Button 1087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5184" name="Button 1088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5185" name="Button 1089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6" name="Button 1090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5187" name="Button 1091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5188" name="Button 1092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5189" name="Button 1093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5190" name="Button 1094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5191" name="Button 1095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5192" name="Button 1096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5193" name="Button 1097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5194" name="Button 1098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5195" name="Button 1099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5196" name="Button 1100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5197" name="Button 1101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5198" name="Button 1102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5199" name="Button 1103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5200" name="Button 1104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5201" name="Button 1105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5202" name="Button 1106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5203" name="Button 1107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5204" name="Button 1108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5205" name="Button 1109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5206" name="Button 1110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5207" name="Button 1111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5208" name="Button 1112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5209" name="Button 1113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5210" name="Button 1114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5211" name="Button 1115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5212" name="Button 1116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5213" name="Button 1117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5214" name="Button 1118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5215" name="Button 1119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5216" name="Button 1120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0</xdr:rowOff>
        </xdr:to>
        <xdr:sp macro="" textlink="">
          <xdr:nvSpPr>
            <xdr:cNvPr id="5217" name="Button 1121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0</xdr:rowOff>
        </xdr:to>
        <xdr:sp macro="" textlink="">
          <xdr:nvSpPr>
            <xdr:cNvPr id="5218" name="Button 1122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0</xdr:rowOff>
        </xdr:to>
        <xdr:sp macro="" textlink="">
          <xdr:nvSpPr>
            <xdr:cNvPr id="5219" name="Button 1123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5220" name="Button 1124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0</xdr:rowOff>
        </xdr:to>
        <xdr:sp macro="" textlink="">
          <xdr:nvSpPr>
            <xdr:cNvPr id="5221" name="Button 1125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5222" name="Button 1126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5223" name="Button 1127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0</xdr:rowOff>
        </xdr:to>
        <xdr:sp macro="" textlink="">
          <xdr:nvSpPr>
            <xdr:cNvPr id="5224" name="Button 1128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5225" name="Button 1129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0</xdr:rowOff>
        </xdr:to>
        <xdr:sp macro="" textlink="">
          <xdr:nvSpPr>
            <xdr:cNvPr id="5226" name="Button 1130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5227" name="Button 1131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0</xdr:rowOff>
        </xdr:to>
        <xdr:sp macro="" textlink="">
          <xdr:nvSpPr>
            <xdr:cNvPr id="5228" name="Button 1132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0</xdr:rowOff>
        </xdr:to>
        <xdr:sp macro="" textlink="">
          <xdr:nvSpPr>
            <xdr:cNvPr id="5229" name="Button 1133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0</xdr:rowOff>
        </xdr:to>
        <xdr:sp macro="" textlink="">
          <xdr:nvSpPr>
            <xdr:cNvPr id="5230" name="Button 1134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0</xdr:rowOff>
        </xdr:to>
        <xdr:sp macro="" textlink="">
          <xdr:nvSpPr>
            <xdr:cNvPr id="5231" name="Button 1135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0</xdr:rowOff>
        </xdr:to>
        <xdr:sp macro="" textlink="">
          <xdr:nvSpPr>
            <xdr:cNvPr id="5232" name="Button 1136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0</xdr:rowOff>
        </xdr:to>
        <xdr:sp macro="" textlink="">
          <xdr:nvSpPr>
            <xdr:cNvPr id="5233" name="Button 1137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0</xdr:rowOff>
        </xdr:to>
        <xdr:sp macro="" textlink="">
          <xdr:nvSpPr>
            <xdr:cNvPr id="5234" name="Button 1138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68</xdr:row>
          <xdr:rowOff>0</xdr:rowOff>
        </xdr:from>
        <xdr:to>
          <xdr:col>6</xdr:col>
          <xdr:colOff>0</xdr:colOff>
          <xdr:row>69</xdr:row>
          <xdr:rowOff>0</xdr:rowOff>
        </xdr:to>
        <xdr:sp macro="" textlink="">
          <xdr:nvSpPr>
            <xdr:cNvPr id="5235" name="Button 1139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69</xdr:row>
          <xdr:rowOff>0</xdr:rowOff>
        </xdr:from>
        <xdr:to>
          <xdr:col>6</xdr:col>
          <xdr:colOff>0</xdr:colOff>
          <xdr:row>70</xdr:row>
          <xdr:rowOff>0</xdr:rowOff>
        </xdr:to>
        <xdr:sp macro="" textlink="">
          <xdr:nvSpPr>
            <xdr:cNvPr id="5236" name="Button 1140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70</xdr:row>
          <xdr:rowOff>0</xdr:rowOff>
        </xdr:from>
        <xdr:to>
          <xdr:col>6</xdr:col>
          <xdr:colOff>0</xdr:colOff>
          <xdr:row>71</xdr:row>
          <xdr:rowOff>0</xdr:rowOff>
        </xdr:to>
        <xdr:sp macro="" textlink="">
          <xdr:nvSpPr>
            <xdr:cNvPr id="5237" name="Button 1141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71</xdr:row>
          <xdr:rowOff>0</xdr:rowOff>
        </xdr:from>
        <xdr:to>
          <xdr:col>6</xdr:col>
          <xdr:colOff>0</xdr:colOff>
          <xdr:row>72</xdr:row>
          <xdr:rowOff>0</xdr:rowOff>
        </xdr:to>
        <xdr:sp macro="" textlink="">
          <xdr:nvSpPr>
            <xdr:cNvPr id="5238" name="Button 1142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72</xdr:row>
          <xdr:rowOff>0</xdr:rowOff>
        </xdr:from>
        <xdr:to>
          <xdr:col>6</xdr:col>
          <xdr:colOff>0</xdr:colOff>
          <xdr:row>73</xdr:row>
          <xdr:rowOff>0</xdr:rowOff>
        </xdr:to>
        <xdr:sp macro="" textlink="">
          <xdr:nvSpPr>
            <xdr:cNvPr id="5239" name="Button 1143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73</xdr:row>
          <xdr:rowOff>0</xdr:rowOff>
        </xdr:from>
        <xdr:to>
          <xdr:col>6</xdr:col>
          <xdr:colOff>0</xdr:colOff>
          <xdr:row>74</xdr:row>
          <xdr:rowOff>0</xdr:rowOff>
        </xdr:to>
        <xdr:sp macro="" textlink="">
          <xdr:nvSpPr>
            <xdr:cNvPr id="5240" name="Button 1144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74</xdr:row>
          <xdr:rowOff>0</xdr:rowOff>
        </xdr:from>
        <xdr:to>
          <xdr:col>6</xdr:col>
          <xdr:colOff>0</xdr:colOff>
          <xdr:row>75</xdr:row>
          <xdr:rowOff>0</xdr:rowOff>
        </xdr:to>
        <xdr:sp macro="" textlink="">
          <xdr:nvSpPr>
            <xdr:cNvPr id="5241" name="Button 1145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75</xdr:row>
          <xdr:rowOff>0</xdr:rowOff>
        </xdr:from>
        <xdr:to>
          <xdr:col>6</xdr:col>
          <xdr:colOff>0</xdr:colOff>
          <xdr:row>76</xdr:row>
          <xdr:rowOff>0</xdr:rowOff>
        </xdr:to>
        <xdr:sp macro="" textlink="">
          <xdr:nvSpPr>
            <xdr:cNvPr id="5242" name="Button 1146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76</xdr:row>
          <xdr:rowOff>0</xdr:rowOff>
        </xdr:from>
        <xdr:to>
          <xdr:col>6</xdr:col>
          <xdr:colOff>0</xdr:colOff>
          <xdr:row>77</xdr:row>
          <xdr:rowOff>0</xdr:rowOff>
        </xdr:to>
        <xdr:sp macro="" textlink="">
          <xdr:nvSpPr>
            <xdr:cNvPr id="5243" name="Button 1147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77</xdr:row>
          <xdr:rowOff>0</xdr:rowOff>
        </xdr:from>
        <xdr:to>
          <xdr:col>6</xdr:col>
          <xdr:colOff>0</xdr:colOff>
          <xdr:row>78</xdr:row>
          <xdr:rowOff>0</xdr:rowOff>
        </xdr:to>
        <xdr:sp macro="" textlink="">
          <xdr:nvSpPr>
            <xdr:cNvPr id="5244" name="Button 1148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78</xdr:row>
          <xdr:rowOff>0</xdr:rowOff>
        </xdr:from>
        <xdr:to>
          <xdr:col>6</xdr:col>
          <xdr:colOff>0</xdr:colOff>
          <xdr:row>79</xdr:row>
          <xdr:rowOff>0</xdr:rowOff>
        </xdr:to>
        <xdr:sp macro="" textlink="">
          <xdr:nvSpPr>
            <xdr:cNvPr id="5245" name="Button 1149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79</xdr:row>
          <xdr:rowOff>0</xdr:rowOff>
        </xdr:from>
        <xdr:to>
          <xdr:col>6</xdr:col>
          <xdr:colOff>0</xdr:colOff>
          <xdr:row>80</xdr:row>
          <xdr:rowOff>0</xdr:rowOff>
        </xdr:to>
        <xdr:sp macro="" textlink="">
          <xdr:nvSpPr>
            <xdr:cNvPr id="5246" name="Button 1150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80</xdr:row>
          <xdr:rowOff>0</xdr:rowOff>
        </xdr:from>
        <xdr:to>
          <xdr:col>6</xdr:col>
          <xdr:colOff>0</xdr:colOff>
          <xdr:row>81</xdr:row>
          <xdr:rowOff>0</xdr:rowOff>
        </xdr:to>
        <xdr:sp macro="" textlink="">
          <xdr:nvSpPr>
            <xdr:cNvPr id="5247" name="Button 1151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81</xdr:row>
          <xdr:rowOff>0</xdr:rowOff>
        </xdr:from>
        <xdr:to>
          <xdr:col>6</xdr:col>
          <xdr:colOff>0</xdr:colOff>
          <xdr:row>82</xdr:row>
          <xdr:rowOff>0</xdr:rowOff>
        </xdr:to>
        <xdr:sp macro="" textlink="">
          <xdr:nvSpPr>
            <xdr:cNvPr id="5248" name="Button 1152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82</xdr:row>
          <xdr:rowOff>0</xdr:rowOff>
        </xdr:from>
        <xdr:to>
          <xdr:col>6</xdr:col>
          <xdr:colOff>0</xdr:colOff>
          <xdr:row>83</xdr:row>
          <xdr:rowOff>0</xdr:rowOff>
        </xdr:to>
        <xdr:sp macro="" textlink="">
          <xdr:nvSpPr>
            <xdr:cNvPr id="5249" name="Button 1153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83</xdr:row>
          <xdr:rowOff>0</xdr:rowOff>
        </xdr:from>
        <xdr:to>
          <xdr:col>6</xdr:col>
          <xdr:colOff>0</xdr:colOff>
          <xdr:row>84</xdr:row>
          <xdr:rowOff>0</xdr:rowOff>
        </xdr:to>
        <xdr:sp macro="" textlink="">
          <xdr:nvSpPr>
            <xdr:cNvPr id="5250" name="Button 1154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84</xdr:row>
          <xdr:rowOff>0</xdr:rowOff>
        </xdr:from>
        <xdr:to>
          <xdr:col>6</xdr:col>
          <xdr:colOff>0</xdr:colOff>
          <xdr:row>85</xdr:row>
          <xdr:rowOff>0</xdr:rowOff>
        </xdr:to>
        <xdr:sp macro="" textlink="">
          <xdr:nvSpPr>
            <xdr:cNvPr id="5251" name="Button 1155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85</xdr:row>
          <xdr:rowOff>0</xdr:rowOff>
        </xdr:from>
        <xdr:to>
          <xdr:col>6</xdr:col>
          <xdr:colOff>0</xdr:colOff>
          <xdr:row>86</xdr:row>
          <xdr:rowOff>0</xdr:rowOff>
        </xdr:to>
        <xdr:sp macro="" textlink="">
          <xdr:nvSpPr>
            <xdr:cNvPr id="5252" name="Button 1156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86</xdr:row>
          <xdr:rowOff>0</xdr:rowOff>
        </xdr:from>
        <xdr:to>
          <xdr:col>6</xdr:col>
          <xdr:colOff>0</xdr:colOff>
          <xdr:row>87</xdr:row>
          <xdr:rowOff>0</xdr:rowOff>
        </xdr:to>
        <xdr:sp macro="" textlink="">
          <xdr:nvSpPr>
            <xdr:cNvPr id="5253" name="Button 1157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87</xdr:row>
          <xdr:rowOff>0</xdr:rowOff>
        </xdr:from>
        <xdr:to>
          <xdr:col>6</xdr:col>
          <xdr:colOff>0</xdr:colOff>
          <xdr:row>88</xdr:row>
          <xdr:rowOff>0</xdr:rowOff>
        </xdr:to>
        <xdr:sp macro="" textlink="">
          <xdr:nvSpPr>
            <xdr:cNvPr id="5254" name="Button 1158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88</xdr:row>
          <xdr:rowOff>0</xdr:rowOff>
        </xdr:from>
        <xdr:to>
          <xdr:col>6</xdr:col>
          <xdr:colOff>0</xdr:colOff>
          <xdr:row>89</xdr:row>
          <xdr:rowOff>0</xdr:rowOff>
        </xdr:to>
        <xdr:sp macro="" textlink="">
          <xdr:nvSpPr>
            <xdr:cNvPr id="5255" name="Button 1159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89</xdr:row>
          <xdr:rowOff>0</xdr:rowOff>
        </xdr:from>
        <xdr:to>
          <xdr:col>6</xdr:col>
          <xdr:colOff>0</xdr:colOff>
          <xdr:row>90</xdr:row>
          <xdr:rowOff>0</xdr:rowOff>
        </xdr:to>
        <xdr:sp macro="" textlink="">
          <xdr:nvSpPr>
            <xdr:cNvPr id="5256" name="Button 1160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90</xdr:row>
          <xdr:rowOff>0</xdr:rowOff>
        </xdr:from>
        <xdr:to>
          <xdr:col>6</xdr:col>
          <xdr:colOff>0</xdr:colOff>
          <xdr:row>91</xdr:row>
          <xdr:rowOff>0</xdr:rowOff>
        </xdr:to>
        <xdr:sp macro="" textlink="">
          <xdr:nvSpPr>
            <xdr:cNvPr id="5257" name="Button 1161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91</xdr:row>
          <xdr:rowOff>0</xdr:rowOff>
        </xdr:from>
        <xdr:to>
          <xdr:col>6</xdr:col>
          <xdr:colOff>0</xdr:colOff>
          <xdr:row>92</xdr:row>
          <xdr:rowOff>0</xdr:rowOff>
        </xdr:to>
        <xdr:sp macro="" textlink="">
          <xdr:nvSpPr>
            <xdr:cNvPr id="5258" name="Button 1162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92</xdr:row>
          <xdr:rowOff>0</xdr:rowOff>
        </xdr:from>
        <xdr:to>
          <xdr:col>6</xdr:col>
          <xdr:colOff>0</xdr:colOff>
          <xdr:row>93</xdr:row>
          <xdr:rowOff>0</xdr:rowOff>
        </xdr:to>
        <xdr:sp macro="" textlink="">
          <xdr:nvSpPr>
            <xdr:cNvPr id="5259" name="Button 1163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93</xdr:row>
          <xdr:rowOff>0</xdr:rowOff>
        </xdr:from>
        <xdr:to>
          <xdr:col>6</xdr:col>
          <xdr:colOff>0</xdr:colOff>
          <xdr:row>94</xdr:row>
          <xdr:rowOff>0</xdr:rowOff>
        </xdr:to>
        <xdr:sp macro="" textlink="">
          <xdr:nvSpPr>
            <xdr:cNvPr id="5260" name="Button 1164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94</xdr:row>
          <xdr:rowOff>0</xdr:rowOff>
        </xdr:from>
        <xdr:to>
          <xdr:col>6</xdr:col>
          <xdr:colOff>0</xdr:colOff>
          <xdr:row>95</xdr:row>
          <xdr:rowOff>0</xdr:rowOff>
        </xdr:to>
        <xdr:sp macro="" textlink="">
          <xdr:nvSpPr>
            <xdr:cNvPr id="5261" name="Button 1165" hidden="1">
              <a:extLst>
                <a:ext uri="{63B3BB69-23CF-44E3-9099-C40C66FF867C}">
                  <a14:compatExt spid="_x0000_s5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95</xdr:row>
          <xdr:rowOff>0</xdr:rowOff>
        </xdr:from>
        <xdr:to>
          <xdr:col>6</xdr:col>
          <xdr:colOff>0</xdr:colOff>
          <xdr:row>96</xdr:row>
          <xdr:rowOff>0</xdr:rowOff>
        </xdr:to>
        <xdr:sp macro="" textlink="">
          <xdr:nvSpPr>
            <xdr:cNvPr id="5262" name="Button 1166" hidden="1">
              <a:extLst>
                <a:ext uri="{63B3BB69-23CF-44E3-9099-C40C66FF867C}">
                  <a14:compatExt spid="_x0000_s5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96</xdr:row>
          <xdr:rowOff>0</xdr:rowOff>
        </xdr:from>
        <xdr:to>
          <xdr:col>6</xdr:col>
          <xdr:colOff>0</xdr:colOff>
          <xdr:row>97</xdr:row>
          <xdr:rowOff>0</xdr:rowOff>
        </xdr:to>
        <xdr:sp macro="" textlink="">
          <xdr:nvSpPr>
            <xdr:cNvPr id="5263" name="Button 1167" hidden="1">
              <a:extLst>
                <a:ext uri="{63B3BB69-23CF-44E3-9099-C40C66FF867C}">
                  <a14:compatExt spid="_x0000_s5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97</xdr:row>
          <xdr:rowOff>0</xdr:rowOff>
        </xdr:from>
        <xdr:to>
          <xdr:col>6</xdr:col>
          <xdr:colOff>0</xdr:colOff>
          <xdr:row>98</xdr:row>
          <xdr:rowOff>0</xdr:rowOff>
        </xdr:to>
        <xdr:sp macro="" textlink="">
          <xdr:nvSpPr>
            <xdr:cNvPr id="5264" name="Button 1168" hidden="1">
              <a:extLst>
                <a:ext uri="{63B3BB69-23CF-44E3-9099-C40C66FF867C}">
                  <a14:compatExt spid="_x0000_s5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98</xdr:row>
          <xdr:rowOff>0</xdr:rowOff>
        </xdr:from>
        <xdr:to>
          <xdr:col>6</xdr:col>
          <xdr:colOff>0</xdr:colOff>
          <xdr:row>99</xdr:row>
          <xdr:rowOff>0</xdr:rowOff>
        </xdr:to>
        <xdr:sp macro="" textlink="">
          <xdr:nvSpPr>
            <xdr:cNvPr id="5265" name="Button 1169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99</xdr:row>
          <xdr:rowOff>0</xdr:rowOff>
        </xdr:from>
        <xdr:to>
          <xdr:col>6</xdr:col>
          <xdr:colOff>0</xdr:colOff>
          <xdr:row>100</xdr:row>
          <xdr:rowOff>0</xdr:rowOff>
        </xdr:to>
        <xdr:sp macro="" textlink="">
          <xdr:nvSpPr>
            <xdr:cNvPr id="5266" name="Button 1170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100</xdr:row>
          <xdr:rowOff>0</xdr:rowOff>
        </xdr:from>
        <xdr:to>
          <xdr:col>6</xdr:col>
          <xdr:colOff>0</xdr:colOff>
          <xdr:row>101</xdr:row>
          <xdr:rowOff>0</xdr:rowOff>
        </xdr:to>
        <xdr:sp macro="" textlink="">
          <xdr:nvSpPr>
            <xdr:cNvPr id="5267" name="Button 1171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101</xdr:row>
          <xdr:rowOff>0</xdr:rowOff>
        </xdr:from>
        <xdr:to>
          <xdr:col>6</xdr:col>
          <xdr:colOff>0</xdr:colOff>
          <xdr:row>102</xdr:row>
          <xdr:rowOff>0</xdr:rowOff>
        </xdr:to>
        <xdr:sp macro="" textlink="">
          <xdr:nvSpPr>
            <xdr:cNvPr id="5268" name="Button 1172" hidden="1">
              <a:extLst>
                <a:ext uri="{63B3BB69-23CF-44E3-9099-C40C66FF867C}">
                  <a14:compatExt spid="_x0000_s5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102</xdr:row>
          <xdr:rowOff>0</xdr:rowOff>
        </xdr:from>
        <xdr:to>
          <xdr:col>6</xdr:col>
          <xdr:colOff>0</xdr:colOff>
          <xdr:row>103</xdr:row>
          <xdr:rowOff>0</xdr:rowOff>
        </xdr:to>
        <xdr:sp macro="" textlink="">
          <xdr:nvSpPr>
            <xdr:cNvPr id="5269" name="Button 1173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103</xdr:row>
          <xdr:rowOff>0</xdr:rowOff>
        </xdr:from>
        <xdr:to>
          <xdr:col>6</xdr:col>
          <xdr:colOff>0</xdr:colOff>
          <xdr:row>104</xdr:row>
          <xdr:rowOff>0</xdr:rowOff>
        </xdr:to>
        <xdr:sp macro="" textlink="">
          <xdr:nvSpPr>
            <xdr:cNvPr id="5270" name="Button 1174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104</xdr:row>
          <xdr:rowOff>0</xdr:rowOff>
        </xdr:from>
        <xdr:to>
          <xdr:col>6</xdr:col>
          <xdr:colOff>0</xdr:colOff>
          <xdr:row>105</xdr:row>
          <xdr:rowOff>0</xdr:rowOff>
        </xdr:to>
        <xdr:sp macro="" textlink="">
          <xdr:nvSpPr>
            <xdr:cNvPr id="5271" name="Button 1175" hidden="1">
              <a:extLst>
                <a:ext uri="{63B3BB69-23CF-44E3-9099-C40C66FF867C}">
                  <a14:compatExt spid="_x0000_s5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105</xdr:row>
          <xdr:rowOff>0</xdr:rowOff>
        </xdr:from>
        <xdr:to>
          <xdr:col>6</xdr:col>
          <xdr:colOff>0</xdr:colOff>
          <xdr:row>106</xdr:row>
          <xdr:rowOff>0</xdr:rowOff>
        </xdr:to>
        <xdr:sp macro="" textlink="">
          <xdr:nvSpPr>
            <xdr:cNvPr id="5272" name="Button 1176" hidden="1">
              <a:extLst>
                <a:ext uri="{63B3BB69-23CF-44E3-9099-C40C66FF867C}">
                  <a14:compatExt spid="_x0000_s5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106</xdr:row>
          <xdr:rowOff>0</xdr:rowOff>
        </xdr:from>
        <xdr:to>
          <xdr:col>6</xdr:col>
          <xdr:colOff>0</xdr:colOff>
          <xdr:row>107</xdr:row>
          <xdr:rowOff>0</xdr:rowOff>
        </xdr:to>
        <xdr:sp macro="" textlink="">
          <xdr:nvSpPr>
            <xdr:cNvPr id="5273" name="Button 1177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107</xdr:row>
          <xdr:rowOff>0</xdr:rowOff>
        </xdr:from>
        <xdr:to>
          <xdr:col>6</xdr:col>
          <xdr:colOff>0</xdr:colOff>
          <xdr:row>108</xdr:row>
          <xdr:rowOff>0</xdr:rowOff>
        </xdr:to>
        <xdr:sp macro="" textlink="">
          <xdr:nvSpPr>
            <xdr:cNvPr id="5274" name="Button 1178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108</xdr:row>
          <xdr:rowOff>0</xdr:rowOff>
        </xdr:from>
        <xdr:to>
          <xdr:col>6</xdr:col>
          <xdr:colOff>0</xdr:colOff>
          <xdr:row>109</xdr:row>
          <xdr:rowOff>0</xdr:rowOff>
        </xdr:to>
        <xdr:sp macro="" textlink="">
          <xdr:nvSpPr>
            <xdr:cNvPr id="5275" name="Button 1179" hidden="1">
              <a:extLst>
                <a:ext uri="{63B3BB69-23CF-44E3-9099-C40C66FF867C}">
                  <a14:compatExt spid="_x0000_s5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109</xdr:row>
          <xdr:rowOff>0</xdr:rowOff>
        </xdr:from>
        <xdr:to>
          <xdr:col>6</xdr:col>
          <xdr:colOff>0</xdr:colOff>
          <xdr:row>110</xdr:row>
          <xdr:rowOff>0</xdr:rowOff>
        </xdr:to>
        <xdr:sp macro="" textlink="">
          <xdr:nvSpPr>
            <xdr:cNvPr id="5276" name="Button 1180" hidden="1">
              <a:extLst>
                <a:ext uri="{63B3BB69-23CF-44E3-9099-C40C66FF867C}">
                  <a14:compatExt spid="_x0000_s5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110</xdr:row>
          <xdr:rowOff>0</xdr:rowOff>
        </xdr:from>
        <xdr:to>
          <xdr:col>6</xdr:col>
          <xdr:colOff>0</xdr:colOff>
          <xdr:row>111</xdr:row>
          <xdr:rowOff>0</xdr:rowOff>
        </xdr:to>
        <xdr:sp macro="" textlink="">
          <xdr:nvSpPr>
            <xdr:cNvPr id="5277" name="Button 1181" hidden="1">
              <a:extLst>
                <a:ext uri="{63B3BB69-23CF-44E3-9099-C40C66FF867C}">
                  <a14:compatExt spid="_x0000_s5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111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5278" name="Button 1182" hidden="1">
              <a:extLst>
                <a:ext uri="{63B3BB69-23CF-44E3-9099-C40C66FF867C}">
                  <a14:compatExt spid="_x0000_s5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112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5279" name="Button 1183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113</xdr:row>
          <xdr:rowOff>0</xdr:rowOff>
        </xdr:from>
        <xdr:to>
          <xdr:col>6</xdr:col>
          <xdr:colOff>0</xdr:colOff>
          <xdr:row>114</xdr:row>
          <xdr:rowOff>0</xdr:rowOff>
        </xdr:to>
        <xdr:sp macro="" textlink="">
          <xdr:nvSpPr>
            <xdr:cNvPr id="5280" name="Button 1184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114</xdr:row>
          <xdr:rowOff>0</xdr:rowOff>
        </xdr:from>
        <xdr:to>
          <xdr:col>6</xdr:col>
          <xdr:colOff>0</xdr:colOff>
          <xdr:row>115</xdr:row>
          <xdr:rowOff>0</xdr:rowOff>
        </xdr:to>
        <xdr:sp macro="" textlink="">
          <xdr:nvSpPr>
            <xdr:cNvPr id="5281" name="Button 1185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5282" name="Button 1186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5283" name="Button 1187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117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5284" name="Button 1188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118</xdr:row>
          <xdr:rowOff>0</xdr:rowOff>
        </xdr:from>
        <xdr:to>
          <xdr:col>6</xdr:col>
          <xdr:colOff>0</xdr:colOff>
          <xdr:row>119</xdr:row>
          <xdr:rowOff>0</xdr:rowOff>
        </xdr:to>
        <xdr:sp macro="" textlink="">
          <xdr:nvSpPr>
            <xdr:cNvPr id="5285" name="Button 1189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119</xdr:row>
          <xdr:rowOff>0</xdr:rowOff>
        </xdr:from>
        <xdr:to>
          <xdr:col>6</xdr:col>
          <xdr:colOff>0</xdr:colOff>
          <xdr:row>120</xdr:row>
          <xdr:rowOff>0</xdr:rowOff>
        </xdr:to>
        <xdr:sp macro="" textlink="">
          <xdr:nvSpPr>
            <xdr:cNvPr id="5286" name="Button 1190" hidden="1">
              <a:extLst>
                <a:ext uri="{63B3BB69-23CF-44E3-9099-C40C66FF867C}">
                  <a14:compatExt spid="_x0000_s5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120</xdr:row>
          <xdr:rowOff>0</xdr:rowOff>
        </xdr:from>
        <xdr:to>
          <xdr:col>6</xdr:col>
          <xdr:colOff>0</xdr:colOff>
          <xdr:row>121</xdr:row>
          <xdr:rowOff>0</xdr:rowOff>
        </xdr:to>
        <xdr:sp macro="" textlink="">
          <xdr:nvSpPr>
            <xdr:cNvPr id="5287" name="Button 1191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5288" name="Button 1192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122</xdr:row>
          <xdr:rowOff>0</xdr:rowOff>
        </xdr:from>
        <xdr:to>
          <xdr:col>6</xdr:col>
          <xdr:colOff>0</xdr:colOff>
          <xdr:row>123</xdr:row>
          <xdr:rowOff>0</xdr:rowOff>
        </xdr:to>
        <xdr:sp macro="" textlink="">
          <xdr:nvSpPr>
            <xdr:cNvPr id="5289" name="Button 1193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123</xdr:row>
          <xdr:rowOff>0</xdr:rowOff>
        </xdr:from>
        <xdr:to>
          <xdr:col>6</xdr:col>
          <xdr:colOff>0</xdr:colOff>
          <xdr:row>124</xdr:row>
          <xdr:rowOff>0</xdr:rowOff>
        </xdr:to>
        <xdr:sp macro="" textlink="">
          <xdr:nvSpPr>
            <xdr:cNvPr id="5290" name="Button 1194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124</xdr:row>
          <xdr:rowOff>0</xdr:rowOff>
        </xdr:from>
        <xdr:to>
          <xdr:col>6</xdr:col>
          <xdr:colOff>0</xdr:colOff>
          <xdr:row>125</xdr:row>
          <xdr:rowOff>0</xdr:rowOff>
        </xdr:to>
        <xdr:sp macro="" textlink="">
          <xdr:nvSpPr>
            <xdr:cNvPr id="5291" name="Button 1195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125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5292" name="Button 1196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126</xdr:row>
          <xdr:rowOff>0</xdr:rowOff>
        </xdr:from>
        <xdr:to>
          <xdr:col>6</xdr:col>
          <xdr:colOff>0</xdr:colOff>
          <xdr:row>127</xdr:row>
          <xdr:rowOff>0</xdr:rowOff>
        </xdr:to>
        <xdr:sp macro="" textlink="">
          <xdr:nvSpPr>
            <xdr:cNvPr id="5293" name="Button 1197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127</xdr:row>
          <xdr:rowOff>0</xdr:rowOff>
        </xdr:from>
        <xdr:to>
          <xdr:col>6</xdr:col>
          <xdr:colOff>0</xdr:colOff>
          <xdr:row>128</xdr:row>
          <xdr:rowOff>0</xdr:rowOff>
        </xdr:to>
        <xdr:sp macro="" textlink="">
          <xdr:nvSpPr>
            <xdr:cNvPr id="5294" name="Button 1198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128</xdr:row>
          <xdr:rowOff>0</xdr:rowOff>
        </xdr:from>
        <xdr:to>
          <xdr:col>6</xdr:col>
          <xdr:colOff>0</xdr:colOff>
          <xdr:row>129</xdr:row>
          <xdr:rowOff>0</xdr:rowOff>
        </xdr:to>
        <xdr:sp macro="" textlink="">
          <xdr:nvSpPr>
            <xdr:cNvPr id="5295" name="Button 1199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129</xdr:row>
          <xdr:rowOff>0</xdr:rowOff>
        </xdr:from>
        <xdr:to>
          <xdr:col>6</xdr:col>
          <xdr:colOff>0</xdr:colOff>
          <xdr:row>130</xdr:row>
          <xdr:rowOff>0</xdr:rowOff>
        </xdr:to>
        <xdr:sp macro="" textlink="">
          <xdr:nvSpPr>
            <xdr:cNvPr id="5296" name="Button 1200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130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5297" name="Button 1201" hidden="1">
              <a:extLst>
                <a:ext uri="{63B3BB69-23CF-44E3-9099-C40C66FF867C}">
                  <a14:compatExt spid="_x0000_s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131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5298" name="Button 1202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132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5299" name="Button 1203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5300" name="Button 1204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134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5301" name="Button 1205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5302" name="Button 1206" hidden="1">
              <a:extLst>
                <a:ext uri="{63B3BB69-23CF-44E3-9099-C40C66FF867C}">
                  <a14:compatExt spid="_x0000_s5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5303" name="Button 1207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5304" name="Button 1208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5305" name="Button 1209" hidden="1">
              <a:extLst>
                <a:ext uri="{63B3BB69-23CF-44E3-9099-C40C66FF867C}">
                  <a14:compatExt spid="_x0000_s5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139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5306" name="Button 1210" hidden="1">
              <a:extLst>
                <a:ext uri="{63B3BB69-23CF-44E3-9099-C40C66FF867C}">
                  <a14:compatExt spid="_x0000_s5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140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5307" name="Button 1211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141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5308" name="Button 1212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5309" name="Button 1213" hidden="1">
              <a:extLst>
                <a:ext uri="{63B3BB69-23CF-44E3-9099-C40C66FF867C}">
                  <a14:compatExt spid="_x0000_s5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5310" name="Button 1214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5311" name="Button 1215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5312" name="Button 1216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146</xdr:row>
          <xdr:rowOff>0</xdr:rowOff>
        </xdr:from>
        <xdr:to>
          <xdr:col>6</xdr:col>
          <xdr:colOff>0</xdr:colOff>
          <xdr:row>147</xdr:row>
          <xdr:rowOff>0</xdr:rowOff>
        </xdr:to>
        <xdr:sp macro="" textlink="">
          <xdr:nvSpPr>
            <xdr:cNvPr id="5313" name="Button 1217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147</xdr:row>
          <xdr:rowOff>0</xdr:rowOff>
        </xdr:from>
        <xdr:to>
          <xdr:col>6</xdr:col>
          <xdr:colOff>0</xdr:colOff>
          <xdr:row>148</xdr:row>
          <xdr:rowOff>0</xdr:rowOff>
        </xdr:to>
        <xdr:sp macro="" textlink="">
          <xdr:nvSpPr>
            <xdr:cNvPr id="5314" name="Button 1218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148</xdr:row>
          <xdr:rowOff>0</xdr:rowOff>
        </xdr:from>
        <xdr:to>
          <xdr:col>6</xdr:col>
          <xdr:colOff>0</xdr:colOff>
          <xdr:row>149</xdr:row>
          <xdr:rowOff>0</xdr:rowOff>
        </xdr:to>
        <xdr:sp macro="" textlink="">
          <xdr:nvSpPr>
            <xdr:cNvPr id="5315" name="Button 1219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149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5316" name="Button 1220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5317" name="Button 1221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5318" name="Button 1222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152</xdr:row>
          <xdr:rowOff>0</xdr:rowOff>
        </xdr:from>
        <xdr:to>
          <xdr:col>6</xdr:col>
          <xdr:colOff>0</xdr:colOff>
          <xdr:row>153</xdr:row>
          <xdr:rowOff>0</xdr:rowOff>
        </xdr:to>
        <xdr:sp macro="" textlink="">
          <xdr:nvSpPr>
            <xdr:cNvPr id="5319" name="Button 1223" hidden="1">
              <a:extLst>
                <a:ext uri="{63B3BB69-23CF-44E3-9099-C40C66FF867C}">
                  <a14:compatExt spid="_x0000_s5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153</xdr:row>
          <xdr:rowOff>0</xdr:rowOff>
        </xdr:from>
        <xdr:to>
          <xdr:col>6</xdr:col>
          <xdr:colOff>0</xdr:colOff>
          <xdr:row>154</xdr:row>
          <xdr:rowOff>0</xdr:rowOff>
        </xdr:to>
        <xdr:sp macro="" textlink="">
          <xdr:nvSpPr>
            <xdr:cNvPr id="5320" name="Button 1224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154</xdr:row>
          <xdr:rowOff>0</xdr:rowOff>
        </xdr:from>
        <xdr:to>
          <xdr:col>6</xdr:col>
          <xdr:colOff>0</xdr:colOff>
          <xdr:row>155</xdr:row>
          <xdr:rowOff>0</xdr:rowOff>
        </xdr:to>
        <xdr:sp macro="" textlink="">
          <xdr:nvSpPr>
            <xdr:cNvPr id="5321" name="Button 1225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155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5322" name="Button 1226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5323" name="Button 1227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5324" name="Button 1228" hidden="1">
              <a:extLst>
                <a:ext uri="{63B3BB69-23CF-44E3-9099-C40C66FF867C}">
                  <a14:compatExt spid="_x0000_s5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5325" name="Button 1229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5326" name="Button 1230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160</xdr:row>
          <xdr:rowOff>0</xdr:rowOff>
        </xdr:from>
        <xdr:to>
          <xdr:col>6</xdr:col>
          <xdr:colOff>0</xdr:colOff>
          <xdr:row>161</xdr:row>
          <xdr:rowOff>0</xdr:rowOff>
        </xdr:to>
        <xdr:sp macro="" textlink="">
          <xdr:nvSpPr>
            <xdr:cNvPr id="5327" name="Button 1231" hidden="1">
              <a:extLst>
                <a:ext uri="{63B3BB69-23CF-44E3-9099-C40C66FF867C}">
                  <a14:compatExt spid="_x0000_s5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161</xdr:row>
          <xdr:rowOff>0</xdr:rowOff>
        </xdr:from>
        <xdr:to>
          <xdr:col>6</xdr:col>
          <xdr:colOff>0</xdr:colOff>
          <xdr:row>162</xdr:row>
          <xdr:rowOff>0</xdr:rowOff>
        </xdr:to>
        <xdr:sp macro="" textlink="">
          <xdr:nvSpPr>
            <xdr:cNvPr id="5328" name="Button 1232" hidden="1">
              <a:extLst>
                <a:ext uri="{63B3BB69-23CF-44E3-9099-C40C66FF867C}">
                  <a14:compatExt spid="_x0000_s5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162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5329" name="Button 1233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163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5330" name="Button 1234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5331" name="Button 1235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5332" name="Button 1236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166</xdr:row>
          <xdr:rowOff>0</xdr:rowOff>
        </xdr:from>
        <xdr:to>
          <xdr:col>6</xdr:col>
          <xdr:colOff>0</xdr:colOff>
          <xdr:row>167</xdr:row>
          <xdr:rowOff>0</xdr:rowOff>
        </xdr:to>
        <xdr:sp macro="" textlink="">
          <xdr:nvSpPr>
            <xdr:cNvPr id="5333" name="Button 1237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167</xdr:row>
          <xdr:rowOff>0</xdr:rowOff>
        </xdr:from>
        <xdr:to>
          <xdr:col>6</xdr:col>
          <xdr:colOff>0</xdr:colOff>
          <xdr:row>168</xdr:row>
          <xdr:rowOff>0</xdr:rowOff>
        </xdr:to>
        <xdr:sp macro="" textlink="">
          <xdr:nvSpPr>
            <xdr:cNvPr id="5334" name="Button 1238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168</xdr:row>
          <xdr:rowOff>0</xdr:rowOff>
        </xdr:from>
        <xdr:to>
          <xdr:col>6</xdr:col>
          <xdr:colOff>0</xdr:colOff>
          <xdr:row>169</xdr:row>
          <xdr:rowOff>0</xdr:rowOff>
        </xdr:to>
        <xdr:sp macro="" textlink="">
          <xdr:nvSpPr>
            <xdr:cNvPr id="5335" name="Button 1239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169</xdr:row>
          <xdr:rowOff>0</xdr:rowOff>
        </xdr:from>
        <xdr:to>
          <xdr:col>6</xdr:col>
          <xdr:colOff>0</xdr:colOff>
          <xdr:row>170</xdr:row>
          <xdr:rowOff>0</xdr:rowOff>
        </xdr:to>
        <xdr:sp macro="" textlink="">
          <xdr:nvSpPr>
            <xdr:cNvPr id="5336" name="Button 1240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170</xdr:row>
          <xdr:rowOff>0</xdr:rowOff>
        </xdr:from>
        <xdr:to>
          <xdr:col>6</xdr:col>
          <xdr:colOff>0</xdr:colOff>
          <xdr:row>171</xdr:row>
          <xdr:rowOff>0</xdr:rowOff>
        </xdr:to>
        <xdr:sp macro="" textlink="">
          <xdr:nvSpPr>
            <xdr:cNvPr id="5337" name="Button 1241" hidden="1">
              <a:extLst>
                <a:ext uri="{63B3BB69-23CF-44E3-9099-C40C66FF867C}">
                  <a14:compatExt spid="_x0000_s5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171</xdr:row>
          <xdr:rowOff>0</xdr:rowOff>
        </xdr:from>
        <xdr:to>
          <xdr:col>6</xdr:col>
          <xdr:colOff>0</xdr:colOff>
          <xdr:row>172</xdr:row>
          <xdr:rowOff>0</xdr:rowOff>
        </xdr:to>
        <xdr:sp macro="" textlink="">
          <xdr:nvSpPr>
            <xdr:cNvPr id="5338" name="Button 1242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172</xdr:row>
          <xdr:rowOff>0</xdr:rowOff>
        </xdr:from>
        <xdr:to>
          <xdr:col>6</xdr:col>
          <xdr:colOff>0</xdr:colOff>
          <xdr:row>173</xdr:row>
          <xdr:rowOff>0</xdr:rowOff>
        </xdr:to>
        <xdr:sp macro="" textlink="">
          <xdr:nvSpPr>
            <xdr:cNvPr id="5339" name="Button 1243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173</xdr:row>
          <xdr:rowOff>0</xdr:rowOff>
        </xdr:from>
        <xdr:to>
          <xdr:col>6</xdr:col>
          <xdr:colOff>0</xdr:colOff>
          <xdr:row>174</xdr:row>
          <xdr:rowOff>0</xdr:rowOff>
        </xdr:to>
        <xdr:sp macro="" textlink="">
          <xdr:nvSpPr>
            <xdr:cNvPr id="5340" name="Button 1244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174</xdr:row>
          <xdr:rowOff>0</xdr:rowOff>
        </xdr:from>
        <xdr:to>
          <xdr:col>6</xdr:col>
          <xdr:colOff>0</xdr:colOff>
          <xdr:row>175</xdr:row>
          <xdr:rowOff>0</xdr:rowOff>
        </xdr:to>
        <xdr:sp macro="" textlink="">
          <xdr:nvSpPr>
            <xdr:cNvPr id="5341" name="Button 1245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175</xdr:row>
          <xdr:rowOff>0</xdr:rowOff>
        </xdr:from>
        <xdr:to>
          <xdr:col>6</xdr:col>
          <xdr:colOff>0</xdr:colOff>
          <xdr:row>176</xdr:row>
          <xdr:rowOff>0</xdr:rowOff>
        </xdr:to>
        <xdr:sp macro="" textlink="">
          <xdr:nvSpPr>
            <xdr:cNvPr id="5342" name="Button 1246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176</xdr:row>
          <xdr:rowOff>0</xdr:rowOff>
        </xdr:from>
        <xdr:to>
          <xdr:col>6</xdr:col>
          <xdr:colOff>0</xdr:colOff>
          <xdr:row>177</xdr:row>
          <xdr:rowOff>0</xdr:rowOff>
        </xdr:to>
        <xdr:sp macro="" textlink="">
          <xdr:nvSpPr>
            <xdr:cNvPr id="5343" name="Button 1247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177</xdr:row>
          <xdr:rowOff>0</xdr:rowOff>
        </xdr:from>
        <xdr:to>
          <xdr:col>6</xdr:col>
          <xdr:colOff>0</xdr:colOff>
          <xdr:row>178</xdr:row>
          <xdr:rowOff>0</xdr:rowOff>
        </xdr:to>
        <xdr:sp macro="" textlink="">
          <xdr:nvSpPr>
            <xdr:cNvPr id="5344" name="Button 1248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178</xdr:row>
          <xdr:rowOff>0</xdr:rowOff>
        </xdr:from>
        <xdr:to>
          <xdr:col>6</xdr:col>
          <xdr:colOff>0</xdr:colOff>
          <xdr:row>179</xdr:row>
          <xdr:rowOff>0</xdr:rowOff>
        </xdr:to>
        <xdr:sp macro="" textlink="">
          <xdr:nvSpPr>
            <xdr:cNvPr id="5345" name="Button 1249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179</xdr:row>
          <xdr:rowOff>0</xdr:rowOff>
        </xdr:from>
        <xdr:to>
          <xdr:col>6</xdr:col>
          <xdr:colOff>0</xdr:colOff>
          <xdr:row>180</xdr:row>
          <xdr:rowOff>0</xdr:rowOff>
        </xdr:to>
        <xdr:sp macro="" textlink="">
          <xdr:nvSpPr>
            <xdr:cNvPr id="5346" name="Button 1250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180</xdr:row>
          <xdr:rowOff>0</xdr:rowOff>
        </xdr:from>
        <xdr:to>
          <xdr:col>6</xdr:col>
          <xdr:colOff>0</xdr:colOff>
          <xdr:row>181</xdr:row>
          <xdr:rowOff>0</xdr:rowOff>
        </xdr:to>
        <xdr:sp macro="" textlink="">
          <xdr:nvSpPr>
            <xdr:cNvPr id="5347" name="Button 1251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181</xdr:row>
          <xdr:rowOff>0</xdr:rowOff>
        </xdr:from>
        <xdr:to>
          <xdr:col>6</xdr:col>
          <xdr:colOff>0</xdr:colOff>
          <xdr:row>182</xdr:row>
          <xdr:rowOff>0</xdr:rowOff>
        </xdr:to>
        <xdr:sp macro="" textlink="">
          <xdr:nvSpPr>
            <xdr:cNvPr id="5348" name="Button 1252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182</xdr:row>
          <xdr:rowOff>0</xdr:rowOff>
        </xdr:from>
        <xdr:to>
          <xdr:col>6</xdr:col>
          <xdr:colOff>0</xdr:colOff>
          <xdr:row>183</xdr:row>
          <xdr:rowOff>0</xdr:rowOff>
        </xdr:to>
        <xdr:sp macro="" textlink="">
          <xdr:nvSpPr>
            <xdr:cNvPr id="5349" name="Button 1253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183</xdr:row>
          <xdr:rowOff>0</xdr:rowOff>
        </xdr:from>
        <xdr:to>
          <xdr:col>6</xdr:col>
          <xdr:colOff>0</xdr:colOff>
          <xdr:row>184</xdr:row>
          <xdr:rowOff>0</xdr:rowOff>
        </xdr:to>
        <xdr:sp macro="" textlink="">
          <xdr:nvSpPr>
            <xdr:cNvPr id="5350" name="Button 1254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184</xdr:row>
          <xdr:rowOff>0</xdr:rowOff>
        </xdr:from>
        <xdr:to>
          <xdr:col>6</xdr:col>
          <xdr:colOff>0</xdr:colOff>
          <xdr:row>185</xdr:row>
          <xdr:rowOff>0</xdr:rowOff>
        </xdr:to>
        <xdr:sp macro="" textlink="">
          <xdr:nvSpPr>
            <xdr:cNvPr id="5351" name="Button 1255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185</xdr:row>
          <xdr:rowOff>0</xdr:rowOff>
        </xdr:from>
        <xdr:to>
          <xdr:col>6</xdr:col>
          <xdr:colOff>0</xdr:colOff>
          <xdr:row>186</xdr:row>
          <xdr:rowOff>0</xdr:rowOff>
        </xdr:to>
        <xdr:sp macro="" textlink="">
          <xdr:nvSpPr>
            <xdr:cNvPr id="5352" name="Button 1256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186</xdr:row>
          <xdr:rowOff>0</xdr:rowOff>
        </xdr:from>
        <xdr:to>
          <xdr:col>6</xdr:col>
          <xdr:colOff>0</xdr:colOff>
          <xdr:row>187</xdr:row>
          <xdr:rowOff>0</xdr:rowOff>
        </xdr:to>
        <xdr:sp macro="" textlink="">
          <xdr:nvSpPr>
            <xdr:cNvPr id="5353" name="Button 1257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187</xdr:row>
          <xdr:rowOff>0</xdr:rowOff>
        </xdr:from>
        <xdr:to>
          <xdr:col>6</xdr:col>
          <xdr:colOff>0</xdr:colOff>
          <xdr:row>188</xdr:row>
          <xdr:rowOff>0</xdr:rowOff>
        </xdr:to>
        <xdr:sp macro="" textlink="">
          <xdr:nvSpPr>
            <xdr:cNvPr id="5354" name="Button 1258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188</xdr:row>
          <xdr:rowOff>0</xdr:rowOff>
        </xdr:from>
        <xdr:to>
          <xdr:col>6</xdr:col>
          <xdr:colOff>0</xdr:colOff>
          <xdr:row>189</xdr:row>
          <xdr:rowOff>0</xdr:rowOff>
        </xdr:to>
        <xdr:sp macro="" textlink="">
          <xdr:nvSpPr>
            <xdr:cNvPr id="5355" name="Button 1259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189</xdr:row>
          <xdr:rowOff>0</xdr:rowOff>
        </xdr:from>
        <xdr:to>
          <xdr:col>6</xdr:col>
          <xdr:colOff>0</xdr:colOff>
          <xdr:row>190</xdr:row>
          <xdr:rowOff>0</xdr:rowOff>
        </xdr:to>
        <xdr:sp macro="" textlink="">
          <xdr:nvSpPr>
            <xdr:cNvPr id="5356" name="Button 1260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190</xdr:row>
          <xdr:rowOff>0</xdr:rowOff>
        </xdr:from>
        <xdr:to>
          <xdr:col>6</xdr:col>
          <xdr:colOff>0</xdr:colOff>
          <xdr:row>191</xdr:row>
          <xdr:rowOff>0</xdr:rowOff>
        </xdr:to>
        <xdr:sp macro="" textlink="">
          <xdr:nvSpPr>
            <xdr:cNvPr id="5357" name="Button 1261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191</xdr:row>
          <xdr:rowOff>0</xdr:rowOff>
        </xdr:from>
        <xdr:to>
          <xdr:col>6</xdr:col>
          <xdr:colOff>0</xdr:colOff>
          <xdr:row>192</xdr:row>
          <xdr:rowOff>0</xdr:rowOff>
        </xdr:to>
        <xdr:sp macro="" textlink="">
          <xdr:nvSpPr>
            <xdr:cNvPr id="5358" name="Button 1262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192</xdr:row>
          <xdr:rowOff>0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5359" name="Button 1263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193</xdr:row>
          <xdr:rowOff>0</xdr:rowOff>
        </xdr:from>
        <xdr:to>
          <xdr:col>6</xdr:col>
          <xdr:colOff>0</xdr:colOff>
          <xdr:row>194</xdr:row>
          <xdr:rowOff>0</xdr:rowOff>
        </xdr:to>
        <xdr:sp macro="" textlink="">
          <xdr:nvSpPr>
            <xdr:cNvPr id="5360" name="Button 1264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194</xdr:row>
          <xdr:rowOff>0</xdr:rowOff>
        </xdr:from>
        <xdr:to>
          <xdr:col>6</xdr:col>
          <xdr:colOff>0</xdr:colOff>
          <xdr:row>195</xdr:row>
          <xdr:rowOff>0</xdr:rowOff>
        </xdr:to>
        <xdr:sp macro="" textlink="">
          <xdr:nvSpPr>
            <xdr:cNvPr id="5361" name="Button 1265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195</xdr:row>
          <xdr:rowOff>0</xdr:rowOff>
        </xdr:from>
        <xdr:to>
          <xdr:col>6</xdr:col>
          <xdr:colOff>0</xdr:colOff>
          <xdr:row>196</xdr:row>
          <xdr:rowOff>0</xdr:rowOff>
        </xdr:to>
        <xdr:sp macro="" textlink="">
          <xdr:nvSpPr>
            <xdr:cNvPr id="5362" name="Button 1266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196</xdr:row>
          <xdr:rowOff>0</xdr:rowOff>
        </xdr:from>
        <xdr:to>
          <xdr:col>6</xdr:col>
          <xdr:colOff>0</xdr:colOff>
          <xdr:row>197</xdr:row>
          <xdr:rowOff>0</xdr:rowOff>
        </xdr:to>
        <xdr:sp macro="" textlink="">
          <xdr:nvSpPr>
            <xdr:cNvPr id="5363" name="Button 1267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197</xdr:row>
          <xdr:rowOff>0</xdr:rowOff>
        </xdr:from>
        <xdr:to>
          <xdr:col>6</xdr:col>
          <xdr:colOff>0</xdr:colOff>
          <xdr:row>198</xdr:row>
          <xdr:rowOff>0</xdr:rowOff>
        </xdr:to>
        <xdr:sp macro="" textlink="">
          <xdr:nvSpPr>
            <xdr:cNvPr id="5364" name="Button 1268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198</xdr:row>
          <xdr:rowOff>0</xdr:rowOff>
        </xdr:from>
        <xdr:to>
          <xdr:col>6</xdr:col>
          <xdr:colOff>0</xdr:colOff>
          <xdr:row>199</xdr:row>
          <xdr:rowOff>0</xdr:rowOff>
        </xdr:to>
        <xdr:sp macro="" textlink="">
          <xdr:nvSpPr>
            <xdr:cNvPr id="5365" name="Button 1269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199</xdr:row>
          <xdr:rowOff>0</xdr:rowOff>
        </xdr:from>
        <xdr:to>
          <xdr:col>6</xdr:col>
          <xdr:colOff>0</xdr:colOff>
          <xdr:row>200</xdr:row>
          <xdr:rowOff>0</xdr:rowOff>
        </xdr:to>
        <xdr:sp macro="" textlink="">
          <xdr:nvSpPr>
            <xdr:cNvPr id="5366" name="Button 1270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200</xdr:row>
          <xdr:rowOff>0</xdr:rowOff>
        </xdr:from>
        <xdr:to>
          <xdr:col>6</xdr:col>
          <xdr:colOff>0</xdr:colOff>
          <xdr:row>201</xdr:row>
          <xdr:rowOff>0</xdr:rowOff>
        </xdr:to>
        <xdr:sp macro="" textlink="">
          <xdr:nvSpPr>
            <xdr:cNvPr id="5367" name="Button 1271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201</xdr:row>
          <xdr:rowOff>0</xdr:rowOff>
        </xdr:from>
        <xdr:to>
          <xdr:col>6</xdr:col>
          <xdr:colOff>0</xdr:colOff>
          <xdr:row>202</xdr:row>
          <xdr:rowOff>0</xdr:rowOff>
        </xdr:to>
        <xdr:sp macro="" textlink="">
          <xdr:nvSpPr>
            <xdr:cNvPr id="5368" name="Button 1272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202</xdr:row>
          <xdr:rowOff>0</xdr:rowOff>
        </xdr:from>
        <xdr:to>
          <xdr:col>6</xdr:col>
          <xdr:colOff>0</xdr:colOff>
          <xdr:row>203</xdr:row>
          <xdr:rowOff>0</xdr:rowOff>
        </xdr:to>
        <xdr:sp macro="" textlink="">
          <xdr:nvSpPr>
            <xdr:cNvPr id="5369" name="Button 1273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203</xdr:row>
          <xdr:rowOff>0</xdr:rowOff>
        </xdr:from>
        <xdr:to>
          <xdr:col>6</xdr:col>
          <xdr:colOff>0</xdr:colOff>
          <xdr:row>204</xdr:row>
          <xdr:rowOff>0</xdr:rowOff>
        </xdr:to>
        <xdr:sp macro="" textlink="">
          <xdr:nvSpPr>
            <xdr:cNvPr id="5370" name="Button 1274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204</xdr:row>
          <xdr:rowOff>0</xdr:rowOff>
        </xdr:from>
        <xdr:to>
          <xdr:col>6</xdr:col>
          <xdr:colOff>0</xdr:colOff>
          <xdr:row>205</xdr:row>
          <xdr:rowOff>0</xdr:rowOff>
        </xdr:to>
        <xdr:sp macro="" textlink="">
          <xdr:nvSpPr>
            <xdr:cNvPr id="5371" name="Button 1275" hidden="1">
              <a:extLst>
                <a:ext uri="{63B3BB69-23CF-44E3-9099-C40C66FF867C}">
                  <a14:compatExt spid="_x0000_s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205</xdr:row>
          <xdr:rowOff>0</xdr:rowOff>
        </xdr:from>
        <xdr:to>
          <xdr:col>6</xdr:col>
          <xdr:colOff>0</xdr:colOff>
          <xdr:row>206</xdr:row>
          <xdr:rowOff>0</xdr:rowOff>
        </xdr:to>
        <xdr:sp macro="" textlink="">
          <xdr:nvSpPr>
            <xdr:cNvPr id="5372" name="Button 1276" hidden="1">
              <a:extLst>
                <a:ext uri="{63B3BB69-23CF-44E3-9099-C40C66FF867C}">
                  <a14:compatExt spid="_x0000_s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206</xdr:row>
          <xdr:rowOff>0</xdr:rowOff>
        </xdr:from>
        <xdr:to>
          <xdr:col>6</xdr:col>
          <xdr:colOff>0</xdr:colOff>
          <xdr:row>207</xdr:row>
          <xdr:rowOff>0</xdr:rowOff>
        </xdr:to>
        <xdr:sp macro="" textlink="">
          <xdr:nvSpPr>
            <xdr:cNvPr id="5373" name="Button 1277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207</xdr:row>
          <xdr:rowOff>0</xdr:rowOff>
        </xdr:from>
        <xdr:to>
          <xdr:col>6</xdr:col>
          <xdr:colOff>0</xdr:colOff>
          <xdr:row>208</xdr:row>
          <xdr:rowOff>0</xdr:rowOff>
        </xdr:to>
        <xdr:sp macro="" textlink="">
          <xdr:nvSpPr>
            <xdr:cNvPr id="5374" name="Button 1278" hidden="1">
              <a:extLst>
                <a:ext uri="{63B3BB69-23CF-44E3-9099-C40C66FF867C}">
                  <a14:compatExt spid="_x0000_s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208</xdr:row>
          <xdr:rowOff>0</xdr:rowOff>
        </xdr:from>
        <xdr:to>
          <xdr:col>6</xdr:col>
          <xdr:colOff>0</xdr:colOff>
          <xdr:row>209</xdr:row>
          <xdr:rowOff>0</xdr:rowOff>
        </xdr:to>
        <xdr:sp macro="" textlink="">
          <xdr:nvSpPr>
            <xdr:cNvPr id="5375" name="Button 1279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209</xdr:row>
          <xdr:rowOff>0</xdr:rowOff>
        </xdr:from>
        <xdr:to>
          <xdr:col>6</xdr:col>
          <xdr:colOff>0</xdr:colOff>
          <xdr:row>210</xdr:row>
          <xdr:rowOff>0</xdr:rowOff>
        </xdr:to>
        <xdr:sp macro="" textlink="">
          <xdr:nvSpPr>
            <xdr:cNvPr id="5376" name="Button 1280" hidden="1">
              <a:extLst>
                <a:ext uri="{63B3BB69-23CF-44E3-9099-C40C66FF867C}">
                  <a14:compatExt spid="_x0000_s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210</xdr:row>
          <xdr:rowOff>0</xdr:rowOff>
        </xdr:from>
        <xdr:to>
          <xdr:col>6</xdr:col>
          <xdr:colOff>0</xdr:colOff>
          <xdr:row>211</xdr:row>
          <xdr:rowOff>0</xdr:rowOff>
        </xdr:to>
        <xdr:sp macro="" textlink="">
          <xdr:nvSpPr>
            <xdr:cNvPr id="5377" name="Button 1281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211</xdr:row>
          <xdr:rowOff>0</xdr:rowOff>
        </xdr:from>
        <xdr:to>
          <xdr:col>6</xdr:col>
          <xdr:colOff>0</xdr:colOff>
          <xdr:row>212</xdr:row>
          <xdr:rowOff>0</xdr:rowOff>
        </xdr:to>
        <xdr:sp macro="" textlink="">
          <xdr:nvSpPr>
            <xdr:cNvPr id="5378" name="Button 1282" hidden="1">
              <a:extLst>
                <a:ext uri="{63B3BB69-23CF-44E3-9099-C40C66FF867C}">
                  <a14:compatExt spid="_x0000_s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212</xdr:row>
          <xdr:rowOff>0</xdr:rowOff>
        </xdr:from>
        <xdr:to>
          <xdr:col>6</xdr:col>
          <xdr:colOff>0</xdr:colOff>
          <xdr:row>213</xdr:row>
          <xdr:rowOff>0</xdr:rowOff>
        </xdr:to>
        <xdr:sp macro="" textlink="">
          <xdr:nvSpPr>
            <xdr:cNvPr id="5379" name="Button 1283" hidden="1">
              <a:extLst>
                <a:ext uri="{63B3BB69-23CF-44E3-9099-C40C66FF867C}">
                  <a14:compatExt spid="_x0000_s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213</xdr:row>
          <xdr:rowOff>0</xdr:rowOff>
        </xdr:from>
        <xdr:to>
          <xdr:col>6</xdr:col>
          <xdr:colOff>0</xdr:colOff>
          <xdr:row>214</xdr:row>
          <xdr:rowOff>0</xdr:rowOff>
        </xdr:to>
        <xdr:sp macro="" textlink="">
          <xdr:nvSpPr>
            <xdr:cNvPr id="5380" name="Button 1284" hidden="1">
              <a:extLst>
                <a:ext uri="{63B3BB69-23CF-44E3-9099-C40C66FF867C}">
                  <a14:compatExt spid="_x0000_s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214</xdr:row>
          <xdr:rowOff>0</xdr:rowOff>
        </xdr:from>
        <xdr:to>
          <xdr:col>6</xdr:col>
          <xdr:colOff>0</xdr:colOff>
          <xdr:row>215</xdr:row>
          <xdr:rowOff>0</xdr:rowOff>
        </xdr:to>
        <xdr:sp macro="" textlink="">
          <xdr:nvSpPr>
            <xdr:cNvPr id="5381" name="Button 1285" hidden="1">
              <a:extLst>
                <a:ext uri="{63B3BB69-23CF-44E3-9099-C40C66FF867C}">
                  <a14:compatExt spid="_x0000_s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215</xdr:row>
          <xdr:rowOff>0</xdr:rowOff>
        </xdr:from>
        <xdr:to>
          <xdr:col>6</xdr:col>
          <xdr:colOff>0</xdr:colOff>
          <xdr:row>216</xdr:row>
          <xdr:rowOff>0</xdr:rowOff>
        </xdr:to>
        <xdr:sp macro="" textlink="">
          <xdr:nvSpPr>
            <xdr:cNvPr id="5382" name="Button 1286" hidden="1">
              <a:extLst>
                <a:ext uri="{63B3BB69-23CF-44E3-9099-C40C66FF867C}">
                  <a14:compatExt spid="_x0000_s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216</xdr:row>
          <xdr:rowOff>0</xdr:rowOff>
        </xdr:from>
        <xdr:to>
          <xdr:col>6</xdr:col>
          <xdr:colOff>0</xdr:colOff>
          <xdr:row>217</xdr:row>
          <xdr:rowOff>0</xdr:rowOff>
        </xdr:to>
        <xdr:sp macro="" textlink="">
          <xdr:nvSpPr>
            <xdr:cNvPr id="5383" name="Button 1287" hidden="1">
              <a:extLst>
                <a:ext uri="{63B3BB69-23CF-44E3-9099-C40C66FF867C}">
                  <a14:compatExt spid="_x0000_s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217</xdr:row>
          <xdr:rowOff>0</xdr:rowOff>
        </xdr:from>
        <xdr:to>
          <xdr:col>6</xdr:col>
          <xdr:colOff>0</xdr:colOff>
          <xdr:row>218</xdr:row>
          <xdr:rowOff>0</xdr:rowOff>
        </xdr:to>
        <xdr:sp macro="" textlink="">
          <xdr:nvSpPr>
            <xdr:cNvPr id="5384" name="Button 1288" hidden="1">
              <a:extLst>
                <a:ext uri="{63B3BB69-23CF-44E3-9099-C40C66FF867C}">
                  <a14:compatExt spid="_x0000_s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218</xdr:row>
          <xdr:rowOff>0</xdr:rowOff>
        </xdr:from>
        <xdr:to>
          <xdr:col>6</xdr:col>
          <xdr:colOff>0</xdr:colOff>
          <xdr:row>219</xdr:row>
          <xdr:rowOff>0</xdr:rowOff>
        </xdr:to>
        <xdr:sp macro="" textlink="">
          <xdr:nvSpPr>
            <xdr:cNvPr id="5385" name="Button 1289" hidden="1">
              <a:extLst>
                <a:ext uri="{63B3BB69-23CF-44E3-9099-C40C66FF867C}">
                  <a14:compatExt spid="_x0000_s5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219</xdr:row>
          <xdr:rowOff>0</xdr:rowOff>
        </xdr:from>
        <xdr:to>
          <xdr:col>6</xdr:col>
          <xdr:colOff>0</xdr:colOff>
          <xdr:row>220</xdr:row>
          <xdr:rowOff>0</xdr:rowOff>
        </xdr:to>
        <xdr:sp macro="" textlink="">
          <xdr:nvSpPr>
            <xdr:cNvPr id="5386" name="Button 1290" hidden="1">
              <a:extLst>
                <a:ext uri="{63B3BB69-23CF-44E3-9099-C40C66FF867C}">
                  <a14:compatExt spid="_x0000_s5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220</xdr:row>
          <xdr:rowOff>0</xdr:rowOff>
        </xdr:from>
        <xdr:to>
          <xdr:col>6</xdr:col>
          <xdr:colOff>0</xdr:colOff>
          <xdr:row>221</xdr:row>
          <xdr:rowOff>0</xdr:rowOff>
        </xdr:to>
        <xdr:sp macro="" textlink="">
          <xdr:nvSpPr>
            <xdr:cNvPr id="5387" name="Button 1291" hidden="1">
              <a:extLst>
                <a:ext uri="{63B3BB69-23CF-44E3-9099-C40C66FF867C}">
                  <a14:compatExt spid="_x0000_s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221</xdr:row>
          <xdr:rowOff>0</xdr:rowOff>
        </xdr:from>
        <xdr:to>
          <xdr:col>6</xdr:col>
          <xdr:colOff>0</xdr:colOff>
          <xdr:row>222</xdr:row>
          <xdr:rowOff>0</xdr:rowOff>
        </xdr:to>
        <xdr:sp macro="" textlink="">
          <xdr:nvSpPr>
            <xdr:cNvPr id="5388" name="Button 1292" hidden="1">
              <a:extLst>
                <a:ext uri="{63B3BB69-23CF-44E3-9099-C40C66FF867C}">
                  <a14:compatExt spid="_x0000_s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222</xdr:row>
          <xdr:rowOff>0</xdr:rowOff>
        </xdr:from>
        <xdr:to>
          <xdr:col>6</xdr:col>
          <xdr:colOff>0</xdr:colOff>
          <xdr:row>223</xdr:row>
          <xdr:rowOff>0</xdr:rowOff>
        </xdr:to>
        <xdr:sp macro="" textlink="">
          <xdr:nvSpPr>
            <xdr:cNvPr id="5389" name="Button 1293" hidden="1">
              <a:extLst>
                <a:ext uri="{63B3BB69-23CF-44E3-9099-C40C66FF867C}">
                  <a14:compatExt spid="_x0000_s5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223</xdr:row>
          <xdr:rowOff>0</xdr:rowOff>
        </xdr:from>
        <xdr:to>
          <xdr:col>6</xdr:col>
          <xdr:colOff>0</xdr:colOff>
          <xdr:row>224</xdr:row>
          <xdr:rowOff>0</xdr:rowOff>
        </xdr:to>
        <xdr:sp macro="" textlink="">
          <xdr:nvSpPr>
            <xdr:cNvPr id="5390" name="Button 1294" hidden="1">
              <a:extLst>
                <a:ext uri="{63B3BB69-23CF-44E3-9099-C40C66FF867C}">
                  <a14:compatExt spid="_x0000_s5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224</xdr:row>
          <xdr:rowOff>0</xdr:rowOff>
        </xdr:from>
        <xdr:to>
          <xdr:col>6</xdr:col>
          <xdr:colOff>0</xdr:colOff>
          <xdr:row>225</xdr:row>
          <xdr:rowOff>0</xdr:rowOff>
        </xdr:to>
        <xdr:sp macro="" textlink="">
          <xdr:nvSpPr>
            <xdr:cNvPr id="5391" name="Button 1295" hidden="1">
              <a:extLst>
                <a:ext uri="{63B3BB69-23CF-44E3-9099-C40C66FF867C}">
                  <a14:compatExt spid="_x0000_s5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225</xdr:row>
          <xdr:rowOff>0</xdr:rowOff>
        </xdr:from>
        <xdr:to>
          <xdr:col>6</xdr:col>
          <xdr:colOff>0</xdr:colOff>
          <xdr:row>226</xdr:row>
          <xdr:rowOff>0</xdr:rowOff>
        </xdr:to>
        <xdr:sp macro="" textlink="">
          <xdr:nvSpPr>
            <xdr:cNvPr id="5392" name="Button 1296" hidden="1">
              <a:extLst>
                <a:ext uri="{63B3BB69-23CF-44E3-9099-C40C66FF867C}">
                  <a14:compatExt spid="_x0000_s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226</xdr:row>
          <xdr:rowOff>0</xdr:rowOff>
        </xdr:from>
        <xdr:to>
          <xdr:col>6</xdr:col>
          <xdr:colOff>0</xdr:colOff>
          <xdr:row>227</xdr:row>
          <xdr:rowOff>0</xdr:rowOff>
        </xdr:to>
        <xdr:sp macro="" textlink="">
          <xdr:nvSpPr>
            <xdr:cNvPr id="5393" name="Button 1297" hidden="1">
              <a:extLst>
                <a:ext uri="{63B3BB69-23CF-44E3-9099-C40C66FF867C}">
                  <a14:compatExt spid="_x0000_s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227</xdr:row>
          <xdr:rowOff>0</xdr:rowOff>
        </xdr:from>
        <xdr:to>
          <xdr:col>6</xdr:col>
          <xdr:colOff>0</xdr:colOff>
          <xdr:row>228</xdr:row>
          <xdr:rowOff>0</xdr:rowOff>
        </xdr:to>
        <xdr:sp macro="" textlink="">
          <xdr:nvSpPr>
            <xdr:cNvPr id="5394" name="Button 1298" hidden="1">
              <a:extLst>
                <a:ext uri="{63B3BB69-23CF-44E3-9099-C40C66FF867C}">
                  <a14:compatExt spid="_x0000_s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228</xdr:row>
          <xdr:rowOff>0</xdr:rowOff>
        </xdr:from>
        <xdr:to>
          <xdr:col>6</xdr:col>
          <xdr:colOff>0</xdr:colOff>
          <xdr:row>229</xdr:row>
          <xdr:rowOff>0</xdr:rowOff>
        </xdr:to>
        <xdr:sp macro="" textlink="">
          <xdr:nvSpPr>
            <xdr:cNvPr id="5395" name="Button 1299" hidden="1">
              <a:extLst>
                <a:ext uri="{63B3BB69-23CF-44E3-9099-C40C66FF867C}">
                  <a14:compatExt spid="_x0000_s5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229</xdr:row>
          <xdr:rowOff>0</xdr:rowOff>
        </xdr:from>
        <xdr:to>
          <xdr:col>6</xdr:col>
          <xdr:colOff>0</xdr:colOff>
          <xdr:row>230</xdr:row>
          <xdr:rowOff>0</xdr:rowOff>
        </xdr:to>
        <xdr:sp macro="" textlink="">
          <xdr:nvSpPr>
            <xdr:cNvPr id="5396" name="Button 1300" hidden="1">
              <a:extLst>
                <a:ext uri="{63B3BB69-23CF-44E3-9099-C40C66FF867C}">
                  <a14:compatExt spid="_x0000_s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230</xdr:row>
          <xdr:rowOff>0</xdr:rowOff>
        </xdr:from>
        <xdr:to>
          <xdr:col>6</xdr:col>
          <xdr:colOff>0</xdr:colOff>
          <xdr:row>231</xdr:row>
          <xdr:rowOff>0</xdr:rowOff>
        </xdr:to>
        <xdr:sp macro="" textlink="">
          <xdr:nvSpPr>
            <xdr:cNvPr id="5397" name="Button 1301" hidden="1">
              <a:extLst>
                <a:ext uri="{63B3BB69-23CF-44E3-9099-C40C66FF867C}">
                  <a14:compatExt spid="_x0000_s5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231</xdr:row>
          <xdr:rowOff>0</xdr:rowOff>
        </xdr:from>
        <xdr:to>
          <xdr:col>6</xdr:col>
          <xdr:colOff>0</xdr:colOff>
          <xdr:row>232</xdr:row>
          <xdr:rowOff>0</xdr:rowOff>
        </xdr:to>
        <xdr:sp macro="" textlink="">
          <xdr:nvSpPr>
            <xdr:cNvPr id="5398" name="Button 1302" hidden="1">
              <a:extLst>
                <a:ext uri="{63B3BB69-23CF-44E3-9099-C40C66FF867C}">
                  <a14:compatExt spid="_x0000_s5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232</xdr:row>
          <xdr:rowOff>0</xdr:rowOff>
        </xdr:from>
        <xdr:to>
          <xdr:col>6</xdr:col>
          <xdr:colOff>0</xdr:colOff>
          <xdr:row>233</xdr:row>
          <xdr:rowOff>0</xdr:rowOff>
        </xdr:to>
        <xdr:sp macro="" textlink="">
          <xdr:nvSpPr>
            <xdr:cNvPr id="5399" name="Button 1303" hidden="1">
              <a:extLst>
                <a:ext uri="{63B3BB69-23CF-44E3-9099-C40C66FF867C}">
                  <a14:compatExt spid="_x0000_s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233</xdr:row>
          <xdr:rowOff>0</xdr:rowOff>
        </xdr:from>
        <xdr:to>
          <xdr:col>6</xdr:col>
          <xdr:colOff>0</xdr:colOff>
          <xdr:row>234</xdr:row>
          <xdr:rowOff>0</xdr:rowOff>
        </xdr:to>
        <xdr:sp macro="" textlink="">
          <xdr:nvSpPr>
            <xdr:cNvPr id="5400" name="Button 1304" hidden="1">
              <a:extLst>
                <a:ext uri="{63B3BB69-23CF-44E3-9099-C40C66FF867C}">
                  <a14:compatExt spid="_x0000_s5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234</xdr:row>
          <xdr:rowOff>0</xdr:rowOff>
        </xdr:from>
        <xdr:to>
          <xdr:col>6</xdr:col>
          <xdr:colOff>0</xdr:colOff>
          <xdr:row>235</xdr:row>
          <xdr:rowOff>0</xdr:rowOff>
        </xdr:to>
        <xdr:sp macro="" textlink="">
          <xdr:nvSpPr>
            <xdr:cNvPr id="5401" name="Button 1305" hidden="1">
              <a:extLst>
                <a:ext uri="{63B3BB69-23CF-44E3-9099-C40C66FF867C}">
                  <a14:compatExt spid="_x0000_s5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235</xdr:row>
          <xdr:rowOff>0</xdr:rowOff>
        </xdr:from>
        <xdr:to>
          <xdr:col>6</xdr:col>
          <xdr:colOff>0</xdr:colOff>
          <xdr:row>236</xdr:row>
          <xdr:rowOff>0</xdr:rowOff>
        </xdr:to>
        <xdr:sp macro="" textlink="">
          <xdr:nvSpPr>
            <xdr:cNvPr id="5402" name="Button 1306" hidden="1">
              <a:extLst>
                <a:ext uri="{63B3BB69-23CF-44E3-9099-C40C66FF867C}">
                  <a14:compatExt spid="_x0000_s5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236</xdr:row>
          <xdr:rowOff>0</xdr:rowOff>
        </xdr:from>
        <xdr:to>
          <xdr:col>6</xdr:col>
          <xdr:colOff>0</xdr:colOff>
          <xdr:row>237</xdr:row>
          <xdr:rowOff>0</xdr:rowOff>
        </xdr:to>
        <xdr:sp macro="" textlink="">
          <xdr:nvSpPr>
            <xdr:cNvPr id="5403" name="Button 1307" hidden="1">
              <a:extLst>
                <a:ext uri="{63B3BB69-23CF-44E3-9099-C40C66FF867C}">
                  <a14:compatExt spid="_x0000_s5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237</xdr:row>
          <xdr:rowOff>0</xdr:rowOff>
        </xdr:from>
        <xdr:to>
          <xdr:col>6</xdr:col>
          <xdr:colOff>0</xdr:colOff>
          <xdr:row>238</xdr:row>
          <xdr:rowOff>0</xdr:rowOff>
        </xdr:to>
        <xdr:sp macro="" textlink="">
          <xdr:nvSpPr>
            <xdr:cNvPr id="5404" name="Button 1308" hidden="1">
              <a:extLst>
                <a:ext uri="{63B3BB69-23CF-44E3-9099-C40C66FF867C}">
                  <a14:compatExt spid="_x0000_s5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238</xdr:row>
          <xdr:rowOff>0</xdr:rowOff>
        </xdr:from>
        <xdr:to>
          <xdr:col>6</xdr:col>
          <xdr:colOff>0</xdr:colOff>
          <xdr:row>239</xdr:row>
          <xdr:rowOff>0</xdr:rowOff>
        </xdr:to>
        <xdr:sp macro="" textlink="">
          <xdr:nvSpPr>
            <xdr:cNvPr id="5405" name="Button 1309" hidden="1">
              <a:extLst>
                <a:ext uri="{63B3BB69-23CF-44E3-9099-C40C66FF867C}">
                  <a14:compatExt spid="_x0000_s5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239</xdr:row>
          <xdr:rowOff>0</xdr:rowOff>
        </xdr:from>
        <xdr:to>
          <xdr:col>6</xdr:col>
          <xdr:colOff>0</xdr:colOff>
          <xdr:row>240</xdr:row>
          <xdr:rowOff>0</xdr:rowOff>
        </xdr:to>
        <xdr:sp macro="" textlink="">
          <xdr:nvSpPr>
            <xdr:cNvPr id="5406" name="Button 1310" hidden="1">
              <a:extLst>
                <a:ext uri="{63B3BB69-23CF-44E3-9099-C40C66FF867C}">
                  <a14:compatExt spid="_x0000_s5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240</xdr:row>
          <xdr:rowOff>0</xdr:rowOff>
        </xdr:from>
        <xdr:to>
          <xdr:col>6</xdr:col>
          <xdr:colOff>0</xdr:colOff>
          <xdr:row>241</xdr:row>
          <xdr:rowOff>0</xdr:rowOff>
        </xdr:to>
        <xdr:sp macro="" textlink="">
          <xdr:nvSpPr>
            <xdr:cNvPr id="5407" name="Button 1311" hidden="1">
              <a:extLst>
                <a:ext uri="{63B3BB69-23CF-44E3-9099-C40C66FF867C}">
                  <a14:compatExt spid="_x0000_s5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241</xdr:row>
          <xdr:rowOff>0</xdr:rowOff>
        </xdr:from>
        <xdr:to>
          <xdr:col>6</xdr:col>
          <xdr:colOff>0</xdr:colOff>
          <xdr:row>242</xdr:row>
          <xdr:rowOff>0</xdr:rowOff>
        </xdr:to>
        <xdr:sp macro="" textlink="">
          <xdr:nvSpPr>
            <xdr:cNvPr id="5408" name="Button 1312" hidden="1">
              <a:extLst>
                <a:ext uri="{63B3BB69-23CF-44E3-9099-C40C66FF867C}">
                  <a14:compatExt spid="_x0000_s5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242</xdr:row>
          <xdr:rowOff>0</xdr:rowOff>
        </xdr:from>
        <xdr:to>
          <xdr:col>6</xdr:col>
          <xdr:colOff>0</xdr:colOff>
          <xdr:row>243</xdr:row>
          <xdr:rowOff>0</xdr:rowOff>
        </xdr:to>
        <xdr:sp macro="" textlink="">
          <xdr:nvSpPr>
            <xdr:cNvPr id="5409" name="Button 1313" hidden="1">
              <a:extLst>
                <a:ext uri="{63B3BB69-23CF-44E3-9099-C40C66FF867C}">
                  <a14:compatExt spid="_x0000_s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243</xdr:row>
          <xdr:rowOff>0</xdr:rowOff>
        </xdr:from>
        <xdr:to>
          <xdr:col>6</xdr:col>
          <xdr:colOff>0</xdr:colOff>
          <xdr:row>244</xdr:row>
          <xdr:rowOff>0</xdr:rowOff>
        </xdr:to>
        <xdr:sp macro="" textlink="">
          <xdr:nvSpPr>
            <xdr:cNvPr id="5410" name="Button 1314" hidden="1">
              <a:extLst>
                <a:ext uri="{63B3BB69-23CF-44E3-9099-C40C66FF867C}">
                  <a14:compatExt spid="_x0000_s5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244</xdr:row>
          <xdr:rowOff>0</xdr:rowOff>
        </xdr:from>
        <xdr:to>
          <xdr:col>6</xdr:col>
          <xdr:colOff>0</xdr:colOff>
          <xdr:row>245</xdr:row>
          <xdr:rowOff>0</xdr:rowOff>
        </xdr:to>
        <xdr:sp macro="" textlink="">
          <xdr:nvSpPr>
            <xdr:cNvPr id="5411" name="Button 1315" hidden="1">
              <a:extLst>
                <a:ext uri="{63B3BB69-23CF-44E3-9099-C40C66FF867C}">
                  <a14:compatExt spid="_x0000_s5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245</xdr:row>
          <xdr:rowOff>0</xdr:rowOff>
        </xdr:from>
        <xdr:to>
          <xdr:col>6</xdr:col>
          <xdr:colOff>0</xdr:colOff>
          <xdr:row>246</xdr:row>
          <xdr:rowOff>0</xdr:rowOff>
        </xdr:to>
        <xdr:sp macro="" textlink="">
          <xdr:nvSpPr>
            <xdr:cNvPr id="5412" name="Button 1316" hidden="1">
              <a:extLst>
                <a:ext uri="{63B3BB69-23CF-44E3-9099-C40C66FF867C}">
                  <a14:compatExt spid="_x0000_s5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246</xdr:row>
          <xdr:rowOff>0</xdr:rowOff>
        </xdr:from>
        <xdr:to>
          <xdr:col>6</xdr:col>
          <xdr:colOff>0</xdr:colOff>
          <xdr:row>247</xdr:row>
          <xdr:rowOff>0</xdr:rowOff>
        </xdr:to>
        <xdr:sp macro="" textlink="">
          <xdr:nvSpPr>
            <xdr:cNvPr id="5413" name="Button 1317" hidden="1">
              <a:extLst>
                <a:ext uri="{63B3BB69-23CF-44E3-9099-C40C66FF867C}">
                  <a14:compatExt spid="_x0000_s5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247</xdr:row>
          <xdr:rowOff>0</xdr:rowOff>
        </xdr:from>
        <xdr:to>
          <xdr:col>6</xdr:col>
          <xdr:colOff>0</xdr:colOff>
          <xdr:row>248</xdr:row>
          <xdr:rowOff>0</xdr:rowOff>
        </xdr:to>
        <xdr:sp macro="" textlink="">
          <xdr:nvSpPr>
            <xdr:cNvPr id="5414" name="Button 1318" hidden="1">
              <a:extLst>
                <a:ext uri="{63B3BB69-23CF-44E3-9099-C40C66FF867C}">
                  <a14:compatExt spid="_x0000_s5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248</xdr:row>
          <xdr:rowOff>0</xdr:rowOff>
        </xdr:from>
        <xdr:to>
          <xdr:col>6</xdr:col>
          <xdr:colOff>0</xdr:colOff>
          <xdr:row>249</xdr:row>
          <xdr:rowOff>0</xdr:rowOff>
        </xdr:to>
        <xdr:sp macro="" textlink="">
          <xdr:nvSpPr>
            <xdr:cNvPr id="5415" name="Button 1319" hidden="1">
              <a:extLst>
                <a:ext uri="{63B3BB69-23CF-44E3-9099-C40C66FF867C}">
                  <a14:compatExt spid="_x0000_s5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249</xdr:row>
          <xdr:rowOff>0</xdr:rowOff>
        </xdr:from>
        <xdr:to>
          <xdr:col>6</xdr:col>
          <xdr:colOff>0</xdr:colOff>
          <xdr:row>250</xdr:row>
          <xdr:rowOff>0</xdr:rowOff>
        </xdr:to>
        <xdr:sp macro="" textlink="">
          <xdr:nvSpPr>
            <xdr:cNvPr id="5416" name="Button 1320" hidden="1">
              <a:extLst>
                <a:ext uri="{63B3BB69-23CF-44E3-9099-C40C66FF867C}">
                  <a14:compatExt spid="_x0000_s5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250</xdr:row>
          <xdr:rowOff>0</xdr:rowOff>
        </xdr:from>
        <xdr:to>
          <xdr:col>6</xdr:col>
          <xdr:colOff>0</xdr:colOff>
          <xdr:row>251</xdr:row>
          <xdr:rowOff>0</xdr:rowOff>
        </xdr:to>
        <xdr:sp macro="" textlink="">
          <xdr:nvSpPr>
            <xdr:cNvPr id="5417" name="Button 1321" hidden="1">
              <a:extLst>
                <a:ext uri="{63B3BB69-23CF-44E3-9099-C40C66FF867C}">
                  <a14:compatExt spid="_x0000_s5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251</xdr:row>
          <xdr:rowOff>0</xdr:rowOff>
        </xdr:from>
        <xdr:to>
          <xdr:col>6</xdr:col>
          <xdr:colOff>0</xdr:colOff>
          <xdr:row>252</xdr:row>
          <xdr:rowOff>0</xdr:rowOff>
        </xdr:to>
        <xdr:sp macro="" textlink="">
          <xdr:nvSpPr>
            <xdr:cNvPr id="5418" name="Button 1322" hidden="1">
              <a:extLst>
                <a:ext uri="{63B3BB69-23CF-44E3-9099-C40C66FF867C}">
                  <a14:compatExt spid="_x0000_s5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252</xdr:row>
          <xdr:rowOff>0</xdr:rowOff>
        </xdr:from>
        <xdr:to>
          <xdr:col>6</xdr:col>
          <xdr:colOff>0</xdr:colOff>
          <xdr:row>253</xdr:row>
          <xdr:rowOff>0</xdr:rowOff>
        </xdr:to>
        <xdr:sp macro="" textlink="">
          <xdr:nvSpPr>
            <xdr:cNvPr id="5419" name="Button 1323" hidden="1">
              <a:extLst>
                <a:ext uri="{63B3BB69-23CF-44E3-9099-C40C66FF867C}">
                  <a14:compatExt spid="_x0000_s5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253</xdr:row>
          <xdr:rowOff>0</xdr:rowOff>
        </xdr:from>
        <xdr:to>
          <xdr:col>6</xdr:col>
          <xdr:colOff>0</xdr:colOff>
          <xdr:row>254</xdr:row>
          <xdr:rowOff>0</xdr:rowOff>
        </xdr:to>
        <xdr:sp macro="" textlink="">
          <xdr:nvSpPr>
            <xdr:cNvPr id="5420" name="Button 1324" hidden="1">
              <a:extLst>
                <a:ext uri="{63B3BB69-23CF-44E3-9099-C40C66FF867C}">
                  <a14:compatExt spid="_x0000_s5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254</xdr:row>
          <xdr:rowOff>0</xdr:rowOff>
        </xdr:from>
        <xdr:to>
          <xdr:col>6</xdr:col>
          <xdr:colOff>0</xdr:colOff>
          <xdr:row>255</xdr:row>
          <xdr:rowOff>0</xdr:rowOff>
        </xdr:to>
        <xdr:sp macro="" textlink="">
          <xdr:nvSpPr>
            <xdr:cNvPr id="5421" name="Button 1325" hidden="1">
              <a:extLst>
                <a:ext uri="{63B3BB69-23CF-44E3-9099-C40C66FF867C}">
                  <a14:compatExt spid="_x0000_s5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255</xdr:row>
          <xdr:rowOff>0</xdr:rowOff>
        </xdr:from>
        <xdr:to>
          <xdr:col>6</xdr:col>
          <xdr:colOff>0</xdr:colOff>
          <xdr:row>256</xdr:row>
          <xdr:rowOff>0</xdr:rowOff>
        </xdr:to>
        <xdr:sp macro="" textlink="">
          <xdr:nvSpPr>
            <xdr:cNvPr id="5422" name="Button 1326" hidden="1">
              <a:extLst>
                <a:ext uri="{63B3BB69-23CF-44E3-9099-C40C66FF867C}">
                  <a14:compatExt spid="_x0000_s5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256</xdr:row>
          <xdr:rowOff>0</xdr:rowOff>
        </xdr:from>
        <xdr:to>
          <xdr:col>6</xdr:col>
          <xdr:colOff>0</xdr:colOff>
          <xdr:row>257</xdr:row>
          <xdr:rowOff>0</xdr:rowOff>
        </xdr:to>
        <xdr:sp macro="" textlink="">
          <xdr:nvSpPr>
            <xdr:cNvPr id="5423" name="Button 1327" hidden="1">
              <a:extLst>
                <a:ext uri="{63B3BB69-23CF-44E3-9099-C40C66FF867C}">
                  <a14:compatExt spid="_x0000_s5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257</xdr:row>
          <xdr:rowOff>0</xdr:rowOff>
        </xdr:from>
        <xdr:to>
          <xdr:col>6</xdr:col>
          <xdr:colOff>0</xdr:colOff>
          <xdr:row>258</xdr:row>
          <xdr:rowOff>0</xdr:rowOff>
        </xdr:to>
        <xdr:sp macro="" textlink="">
          <xdr:nvSpPr>
            <xdr:cNvPr id="5424" name="Button 1328" hidden="1">
              <a:extLst>
                <a:ext uri="{63B3BB69-23CF-44E3-9099-C40C66FF867C}">
                  <a14:compatExt spid="_x0000_s5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258</xdr:row>
          <xdr:rowOff>0</xdr:rowOff>
        </xdr:from>
        <xdr:to>
          <xdr:col>6</xdr:col>
          <xdr:colOff>0</xdr:colOff>
          <xdr:row>259</xdr:row>
          <xdr:rowOff>0</xdr:rowOff>
        </xdr:to>
        <xdr:sp macro="" textlink="">
          <xdr:nvSpPr>
            <xdr:cNvPr id="5425" name="Button 1329" hidden="1">
              <a:extLst>
                <a:ext uri="{63B3BB69-23CF-44E3-9099-C40C66FF867C}">
                  <a14:compatExt spid="_x0000_s5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259</xdr:row>
          <xdr:rowOff>0</xdr:rowOff>
        </xdr:from>
        <xdr:to>
          <xdr:col>6</xdr:col>
          <xdr:colOff>0</xdr:colOff>
          <xdr:row>260</xdr:row>
          <xdr:rowOff>0</xdr:rowOff>
        </xdr:to>
        <xdr:sp macro="" textlink="">
          <xdr:nvSpPr>
            <xdr:cNvPr id="5426" name="Button 1330" hidden="1">
              <a:extLst>
                <a:ext uri="{63B3BB69-23CF-44E3-9099-C40C66FF867C}">
                  <a14:compatExt spid="_x0000_s5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260</xdr:row>
          <xdr:rowOff>0</xdr:rowOff>
        </xdr:from>
        <xdr:to>
          <xdr:col>6</xdr:col>
          <xdr:colOff>0</xdr:colOff>
          <xdr:row>261</xdr:row>
          <xdr:rowOff>0</xdr:rowOff>
        </xdr:to>
        <xdr:sp macro="" textlink="">
          <xdr:nvSpPr>
            <xdr:cNvPr id="5427" name="Button 1331" hidden="1">
              <a:extLst>
                <a:ext uri="{63B3BB69-23CF-44E3-9099-C40C66FF867C}">
                  <a14:compatExt spid="_x0000_s5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261</xdr:row>
          <xdr:rowOff>0</xdr:rowOff>
        </xdr:from>
        <xdr:to>
          <xdr:col>6</xdr:col>
          <xdr:colOff>0</xdr:colOff>
          <xdr:row>262</xdr:row>
          <xdr:rowOff>0</xdr:rowOff>
        </xdr:to>
        <xdr:sp macro="" textlink="">
          <xdr:nvSpPr>
            <xdr:cNvPr id="5428" name="Button 1332" hidden="1">
              <a:extLst>
                <a:ext uri="{63B3BB69-23CF-44E3-9099-C40C66FF867C}">
                  <a14:compatExt spid="_x0000_s5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262</xdr:row>
          <xdr:rowOff>0</xdr:rowOff>
        </xdr:from>
        <xdr:to>
          <xdr:col>6</xdr:col>
          <xdr:colOff>0</xdr:colOff>
          <xdr:row>263</xdr:row>
          <xdr:rowOff>0</xdr:rowOff>
        </xdr:to>
        <xdr:sp macro="" textlink="">
          <xdr:nvSpPr>
            <xdr:cNvPr id="5429" name="Button 1333" hidden="1">
              <a:extLst>
                <a:ext uri="{63B3BB69-23CF-44E3-9099-C40C66FF867C}">
                  <a14:compatExt spid="_x0000_s5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263</xdr:row>
          <xdr:rowOff>0</xdr:rowOff>
        </xdr:from>
        <xdr:to>
          <xdr:col>6</xdr:col>
          <xdr:colOff>0</xdr:colOff>
          <xdr:row>264</xdr:row>
          <xdr:rowOff>0</xdr:rowOff>
        </xdr:to>
        <xdr:sp macro="" textlink="">
          <xdr:nvSpPr>
            <xdr:cNvPr id="5430" name="Button 1334" hidden="1">
              <a:extLst>
                <a:ext uri="{63B3BB69-23CF-44E3-9099-C40C66FF867C}">
                  <a14:compatExt spid="_x0000_s5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264</xdr:row>
          <xdr:rowOff>0</xdr:rowOff>
        </xdr:from>
        <xdr:to>
          <xdr:col>6</xdr:col>
          <xdr:colOff>0</xdr:colOff>
          <xdr:row>265</xdr:row>
          <xdr:rowOff>0</xdr:rowOff>
        </xdr:to>
        <xdr:sp macro="" textlink="">
          <xdr:nvSpPr>
            <xdr:cNvPr id="5431" name="Button 1335" hidden="1">
              <a:extLst>
                <a:ext uri="{63B3BB69-23CF-44E3-9099-C40C66FF867C}">
                  <a14:compatExt spid="_x0000_s5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265</xdr:row>
          <xdr:rowOff>0</xdr:rowOff>
        </xdr:from>
        <xdr:to>
          <xdr:col>6</xdr:col>
          <xdr:colOff>0</xdr:colOff>
          <xdr:row>266</xdr:row>
          <xdr:rowOff>0</xdr:rowOff>
        </xdr:to>
        <xdr:sp macro="" textlink="">
          <xdr:nvSpPr>
            <xdr:cNvPr id="5432" name="Button 1336" hidden="1">
              <a:extLst>
                <a:ext uri="{63B3BB69-23CF-44E3-9099-C40C66FF867C}">
                  <a14:compatExt spid="_x0000_s5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266</xdr:row>
          <xdr:rowOff>0</xdr:rowOff>
        </xdr:from>
        <xdr:to>
          <xdr:col>6</xdr:col>
          <xdr:colOff>0</xdr:colOff>
          <xdr:row>267</xdr:row>
          <xdr:rowOff>0</xdr:rowOff>
        </xdr:to>
        <xdr:sp macro="" textlink="">
          <xdr:nvSpPr>
            <xdr:cNvPr id="5433" name="Button 1337" hidden="1">
              <a:extLst>
                <a:ext uri="{63B3BB69-23CF-44E3-9099-C40C66FF867C}">
                  <a14:compatExt spid="_x0000_s5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267</xdr:row>
          <xdr:rowOff>0</xdr:rowOff>
        </xdr:from>
        <xdr:to>
          <xdr:col>6</xdr:col>
          <xdr:colOff>0</xdr:colOff>
          <xdr:row>268</xdr:row>
          <xdr:rowOff>0</xdr:rowOff>
        </xdr:to>
        <xdr:sp macro="" textlink="">
          <xdr:nvSpPr>
            <xdr:cNvPr id="5434" name="Button 1338" hidden="1">
              <a:extLst>
                <a:ext uri="{63B3BB69-23CF-44E3-9099-C40C66FF867C}">
                  <a14:compatExt spid="_x0000_s5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268</xdr:row>
          <xdr:rowOff>0</xdr:rowOff>
        </xdr:from>
        <xdr:to>
          <xdr:col>6</xdr:col>
          <xdr:colOff>0</xdr:colOff>
          <xdr:row>269</xdr:row>
          <xdr:rowOff>0</xdr:rowOff>
        </xdr:to>
        <xdr:sp macro="" textlink="">
          <xdr:nvSpPr>
            <xdr:cNvPr id="5435" name="Button 1339" hidden="1">
              <a:extLst>
                <a:ext uri="{63B3BB69-23CF-44E3-9099-C40C66FF867C}">
                  <a14:compatExt spid="_x0000_s5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269</xdr:row>
          <xdr:rowOff>0</xdr:rowOff>
        </xdr:from>
        <xdr:to>
          <xdr:col>6</xdr:col>
          <xdr:colOff>0</xdr:colOff>
          <xdr:row>270</xdr:row>
          <xdr:rowOff>0</xdr:rowOff>
        </xdr:to>
        <xdr:sp macro="" textlink="">
          <xdr:nvSpPr>
            <xdr:cNvPr id="5436" name="Button 1340" hidden="1">
              <a:extLst>
                <a:ext uri="{63B3BB69-23CF-44E3-9099-C40C66FF867C}">
                  <a14:compatExt spid="_x0000_s5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270</xdr:row>
          <xdr:rowOff>0</xdr:rowOff>
        </xdr:from>
        <xdr:to>
          <xdr:col>6</xdr:col>
          <xdr:colOff>0</xdr:colOff>
          <xdr:row>271</xdr:row>
          <xdr:rowOff>0</xdr:rowOff>
        </xdr:to>
        <xdr:sp macro="" textlink="">
          <xdr:nvSpPr>
            <xdr:cNvPr id="5437" name="Button 1341" hidden="1">
              <a:extLst>
                <a:ext uri="{63B3BB69-23CF-44E3-9099-C40C66FF867C}">
                  <a14:compatExt spid="_x0000_s5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271</xdr:row>
          <xdr:rowOff>0</xdr:rowOff>
        </xdr:from>
        <xdr:to>
          <xdr:col>6</xdr:col>
          <xdr:colOff>0</xdr:colOff>
          <xdr:row>272</xdr:row>
          <xdr:rowOff>0</xdr:rowOff>
        </xdr:to>
        <xdr:sp macro="" textlink="">
          <xdr:nvSpPr>
            <xdr:cNvPr id="5438" name="Button 1342" hidden="1">
              <a:extLst>
                <a:ext uri="{63B3BB69-23CF-44E3-9099-C40C66FF867C}">
                  <a14:compatExt spid="_x0000_s5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272</xdr:row>
          <xdr:rowOff>0</xdr:rowOff>
        </xdr:from>
        <xdr:to>
          <xdr:col>6</xdr:col>
          <xdr:colOff>0</xdr:colOff>
          <xdr:row>273</xdr:row>
          <xdr:rowOff>0</xdr:rowOff>
        </xdr:to>
        <xdr:sp macro="" textlink="">
          <xdr:nvSpPr>
            <xdr:cNvPr id="5439" name="Button 1343" hidden="1">
              <a:extLst>
                <a:ext uri="{63B3BB69-23CF-44E3-9099-C40C66FF867C}">
                  <a14:compatExt spid="_x0000_s5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273</xdr:row>
          <xdr:rowOff>0</xdr:rowOff>
        </xdr:from>
        <xdr:to>
          <xdr:col>6</xdr:col>
          <xdr:colOff>0</xdr:colOff>
          <xdr:row>274</xdr:row>
          <xdr:rowOff>0</xdr:rowOff>
        </xdr:to>
        <xdr:sp macro="" textlink="">
          <xdr:nvSpPr>
            <xdr:cNvPr id="5440" name="Button 1344" hidden="1">
              <a:extLst>
                <a:ext uri="{63B3BB69-23CF-44E3-9099-C40C66FF867C}">
                  <a14:compatExt spid="_x0000_s5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274</xdr:row>
          <xdr:rowOff>0</xdr:rowOff>
        </xdr:from>
        <xdr:to>
          <xdr:col>6</xdr:col>
          <xdr:colOff>0</xdr:colOff>
          <xdr:row>275</xdr:row>
          <xdr:rowOff>0</xdr:rowOff>
        </xdr:to>
        <xdr:sp macro="" textlink="">
          <xdr:nvSpPr>
            <xdr:cNvPr id="5441" name="Button 1345" hidden="1">
              <a:extLst>
                <a:ext uri="{63B3BB69-23CF-44E3-9099-C40C66FF867C}">
                  <a14:compatExt spid="_x0000_s5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275</xdr:row>
          <xdr:rowOff>0</xdr:rowOff>
        </xdr:from>
        <xdr:to>
          <xdr:col>6</xdr:col>
          <xdr:colOff>0</xdr:colOff>
          <xdr:row>276</xdr:row>
          <xdr:rowOff>0</xdr:rowOff>
        </xdr:to>
        <xdr:sp macro="" textlink="">
          <xdr:nvSpPr>
            <xdr:cNvPr id="5442" name="Button 1346" hidden="1">
              <a:extLst>
                <a:ext uri="{63B3BB69-23CF-44E3-9099-C40C66FF867C}">
                  <a14:compatExt spid="_x0000_s5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276</xdr:row>
          <xdr:rowOff>0</xdr:rowOff>
        </xdr:from>
        <xdr:to>
          <xdr:col>6</xdr:col>
          <xdr:colOff>0</xdr:colOff>
          <xdr:row>277</xdr:row>
          <xdr:rowOff>0</xdr:rowOff>
        </xdr:to>
        <xdr:sp macro="" textlink="">
          <xdr:nvSpPr>
            <xdr:cNvPr id="5443" name="Button 1347" hidden="1">
              <a:extLst>
                <a:ext uri="{63B3BB69-23CF-44E3-9099-C40C66FF867C}">
                  <a14:compatExt spid="_x0000_s5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277</xdr:row>
          <xdr:rowOff>0</xdr:rowOff>
        </xdr:from>
        <xdr:to>
          <xdr:col>6</xdr:col>
          <xdr:colOff>0</xdr:colOff>
          <xdr:row>278</xdr:row>
          <xdr:rowOff>0</xdr:rowOff>
        </xdr:to>
        <xdr:sp macro="" textlink="">
          <xdr:nvSpPr>
            <xdr:cNvPr id="5444" name="Button 1348" hidden="1">
              <a:extLst>
                <a:ext uri="{63B3BB69-23CF-44E3-9099-C40C66FF867C}">
                  <a14:compatExt spid="_x0000_s5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278</xdr:row>
          <xdr:rowOff>0</xdr:rowOff>
        </xdr:from>
        <xdr:to>
          <xdr:col>6</xdr:col>
          <xdr:colOff>0</xdr:colOff>
          <xdr:row>279</xdr:row>
          <xdr:rowOff>0</xdr:rowOff>
        </xdr:to>
        <xdr:sp macro="" textlink="">
          <xdr:nvSpPr>
            <xdr:cNvPr id="5445" name="Button 1349" hidden="1">
              <a:extLst>
                <a:ext uri="{63B3BB69-23CF-44E3-9099-C40C66FF867C}">
                  <a14:compatExt spid="_x0000_s5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279</xdr:row>
          <xdr:rowOff>0</xdr:rowOff>
        </xdr:from>
        <xdr:to>
          <xdr:col>6</xdr:col>
          <xdr:colOff>0</xdr:colOff>
          <xdr:row>280</xdr:row>
          <xdr:rowOff>0</xdr:rowOff>
        </xdr:to>
        <xdr:sp macro="" textlink="">
          <xdr:nvSpPr>
            <xdr:cNvPr id="5446" name="Button 1350" hidden="1">
              <a:extLst>
                <a:ext uri="{63B3BB69-23CF-44E3-9099-C40C66FF867C}">
                  <a14:compatExt spid="_x0000_s5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280</xdr:row>
          <xdr:rowOff>0</xdr:rowOff>
        </xdr:from>
        <xdr:to>
          <xdr:col>6</xdr:col>
          <xdr:colOff>0</xdr:colOff>
          <xdr:row>281</xdr:row>
          <xdr:rowOff>0</xdr:rowOff>
        </xdr:to>
        <xdr:sp macro="" textlink="">
          <xdr:nvSpPr>
            <xdr:cNvPr id="5447" name="Button 1351" hidden="1">
              <a:extLst>
                <a:ext uri="{63B3BB69-23CF-44E3-9099-C40C66FF867C}">
                  <a14:compatExt spid="_x0000_s5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281</xdr:row>
          <xdr:rowOff>0</xdr:rowOff>
        </xdr:from>
        <xdr:to>
          <xdr:col>6</xdr:col>
          <xdr:colOff>0</xdr:colOff>
          <xdr:row>282</xdr:row>
          <xdr:rowOff>0</xdr:rowOff>
        </xdr:to>
        <xdr:sp macro="" textlink="">
          <xdr:nvSpPr>
            <xdr:cNvPr id="5448" name="Button 1352" hidden="1">
              <a:extLst>
                <a:ext uri="{63B3BB69-23CF-44E3-9099-C40C66FF867C}">
                  <a14:compatExt spid="_x0000_s5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282</xdr:row>
          <xdr:rowOff>0</xdr:rowOff>
        </xdr:from>
        <xdr:to>
          <xdr:col>6</xdr:col>
          <xdr:colOff>0</xdr:colOff>
          <xdr:row>283</xdr:row>
          <xdr:rowOff>0</xdr:rowOff>
        </xdr:to>
        <xdr:sp macro="" textlink="">
          <xdr:nvSpPr>
            <xdr:cNvPr id="5449" name="Button 1353" hidden="1">
              <a:extLst>
                <a:ext uri="{63B3BB69-23CF-44E3-9099-C40C66FF867C}">
                  <a14:compatExt spid="_x0000_s5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283</xdr:row>
          <xdr:rowOff>0</xdr:rowOff>
        </xdr:from>
        <xdr:to>
          <xdr:col>6</xdr:col>
          <xdr:colOff>0</xdr:colOff>
          <xdr:row>284</xdr:row>
          <xdr:rowOff>0</xdr:rowOff>
        </xdr:to>
        <xdr:sp macro="" textlink="">
          <xdr:nvSpPr>
            <xdr:cNvPr id="5450" name="Button 1354" hidden="1">
              <a:extLst>
                <a:ext uri="{63B3BB69-23CF-44E3-9099-C40C66FF867C}">
                  <a14:compatExt spid="_x0000_s5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284</xdr:row>
          <xdr:rowOff>0</xdr:rowOff>
        </xdr:from>
        <xdr:to>
          <xdr:col>6</xdr:col>
          <xdr:colOff>0</xdr:colOff>
          <xdr:row>285</xdr:row>
          <xdr:rowOff>0</xdr:rowOff>
        </xdr:to>
        <xdr:sp macro="" textlink="">
          <xdr:nvSpPr>
            <xdr:cNvPr id="5451" name="Button 1355" hidden="1">
              <a:extLst>
                <a:ext uri="{63B3BB69-23CF-44E3-9099-C40C66FF867C}">
                  <a14:compatExt spid="_x0000_s5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285</xdr:row>
          <xdr:rowOff>0</xdr:rowOff>
        </xdr:from>
        <xdr:to>
          <xdr:col>6</xdr:col>
          <xdr:colOff>0</xdr:colOff>
          <xdr:row>286</xdr:row>
          <xdr:rowOff>0</xdr:rowOff>
        </xdr:to>
        <xdr:sp macro="" textlink="">
          <xdr:nvSpPr>
            <xdr:cNvPr id="5452" name="Button 1356" hidden="1">
              <a:extLst>
                <a:ext uri="{63B3BB69-23CF-44E3-9099-C40C66FF867C}">
                  <a14:compatExt spid="_x0000_s5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286</xdr:row>
          <xdr:rowOff>0</xdr:rowOff>
        </xdr:from>
        <xdr:to>
          <xdr:col>6</xdr:col>
          <xdr:colOff>0</xdr:colOff>
          <xdr:row>287</xdr:row>
          <xdr:rowOff>0</xdr:rowOff>
        </xdr:to>
        <xdr:sp macro="" textlink="">
          <xdr:nvSpPr>
            <xdr:cNvPr id="5453" name="Button 1357" hidden="1">
              <a:extLst>
                <a:ext uri="{63B3BB69-23CF-44E3-9099-C40C66FF867C}">
                  <a14:compatExt spid="_x0000_s5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287</xdr:row>
          <xdr:rowOff>0</xdr:rowOff>
        </xdr:from>
        <xdr:to>
          <xdr:col>6</xdr:col>
          <xdr:colOff>0</xdr:colOff>
          <xdr:row>288</xdr:row>
          <xdr:rowOff>0</xdr:rowOff>
        </xdr:to>
        <xdr:sp macro="" textlink="">
          <xdr:nvSpPr>
            <xdr:cNvPr id="5454" name="Button 1358" hidden="1">
              <a:extLst>
                <a:ext uri="{63B3BB69-23CF-44E3-9099-C40C66FF867C}">
                  <a14:compatExt spid="_x0000_s5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288</xdr:row>
          <xdr:rowOff>0</xdr:rowOff>
        </xdr:from>
        <xdr:to>
          <xdr:col>6</xdr:col>
          <xdr:colOff>0</xdr:colOff>
          <xdr:row>289</xdr:row>
          <xdr:rowOff>0</xdr:rowOff>
        </xdr:to>
        <xdr:sp macro="" textlink="">
          <xdr:nvSpPr>
            <xdr:cNvPr id="5455" name="Button 1359" hidden="1">
              <a:extLst>
                <a:ext uri="{63B3BB69-23CF-44E3-9099-C40C66FF867C}">
                  <a14:compatExt spid="_x0000_s5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289</xdr:row>
          <xdr:rowOff>0</xdr:rowOff>
        </xdr:from>
        <xdr:to>
          <xdr:col>6</xdr:col>
          <xdr:colOff>0</xdr:colOff>
          <xdr:row>290</xdr:row>
          <xdr:rowOff>0</xdr:rowOff>
        </xdr:to>
        <xdr:sp macro="" textlink="">
          <xdr:nvSpPr>
            <xdr:cNvPr id="5456" name="Button 1360" hidden="1">
              <a:extLst>
                <a:ext uri="{63B3BB69-23CF-44E3-9099-C40C66FF867C}">
                  <a14:compatExt spid="_x0000_s5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290</xdr:row>
          <xdr:rowOff>0</xdr:rowOff>
        </xdr:from>
        <xdr:to>
          <xdr:col>6</xdr:col>
          <xdr:colOff>0</xdr:colOff>
          <xdr:row>291</xdr:row>
          <xdr:rowOff>0</xdr:rowOff>
        </xdr:to>
        <xdr:sp macro="" textlink="">
          <xdr:nvSpPr>
            <xdr:cNvPr id="5457" name="Button 1361" hidden="1">
              <a:extLst>
                <a:ext uri="{63B3BB69-23CF-44E3-9099-C40C66FF867C}">
                  <a14:compatExt spid="_x0000_s5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291</xdr:row>
          <xdr:rowOff>0</xdr:rowOff>
        </xdr:from>
        <xdr:to>
          <xdr:col>6</xdr:col>
          <xdr:colOff>0</xdr:colOff>
          <xdr:row>292</xdr:row>
          <xdr:rowOff>0</xdr:rowOff>
        </xdr:to>
        <xdr:sp macro="" textlink="">
          <xdr:nvSpPr>
            <xdr:cNvPr id="5458" name="Button 1362" hidden="1">
              <a:extLst>
                <a:ext uri="{63B3BB69-23CF-44E3-9099-C40C66FF867C}">
                  <a14:compatExt spid="_x0000_s5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292</xdr:row>
          <xdr:rowOff>0</xdr:rowOff>
        </xdr:from>
        <xdr:to>
          <xdr:col>6</xdr:col>
          <xdr:colOff>0</xdr:colOff>
          <xdr:row>293</xdr:row>
          <xdr:rowOff>0</xdr:rowOff>
        </xdr:to>
        <xdr:sp macro="" textlink="">
          <xdr:nvSpPr>
            <xdr:cNvPr id="5459" name="Button 1363" hidden="1">
              <a:extLst>
                <a:ext uri="{63B3BB69-23CF-44E3-9099-C40C66FF867C}">
                  <a14:compatExt spid="_x0000_s5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293</xdr:row>
          <xdr:rowOff>0</xdr:rowOff>
        </xdr:from>
        <xdr:to>
          <xdr:col>6</xdr:col>
          <xdr:colOff>0</xdr:colOff>
          <xdr:row>294</xdr:row>
          <xdr:rowOff>0</xdr:rowOff>
        </xdr:to>
        <xdr:sp macro="" textlink="">
          <xdr:nvSpPr>
            <xdr:cNvPr id="5460" name="Button 1364" hidden="1">
              <a:extLst>
                <a:ext uri="{63B3BB69-23CF-44E3-9099-C40C66FF867C}">
                  <a14:compatExt spid="_x0000_s5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294</xdr:row>
          <xdr:rowOff>0</xdr:rowOff>
        </xdr:from>
        <xdr:to>
          <xdr:col>6</xdr:col>
          <xdr:colOff>0</xdr:colOff>
          <xdr:row>295</xdr:row>
          <xdr:rowOff>0</xdr:rowOff>
        </xdr:to>
        <xdr:sp macro="" textlink="">
          <xdr:nvSpPr>
            <xdr:cNvPr id="5461" name="Button 1365" hidden="1">
              <a:extLst>
                <a:ext uri="{63B3BB69-23CF-44E3-9099-C40C66FF867C}">
                  <a14:compatExt spid="_x0000_s5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295</xdr:row>
          <xdr:rowOff>0</xdr:rowOff>
        </xdr:from>
        <xdr:to>
          <xdr:col>6</xdr:col>
          <xdr:colOff>0</xdr:colOff>
          <xdr:row>296</xdr:row>
          <xdr:rowOff>0</xdr:rowOff>
        </xdr:to>
        <xdr:sp macro="" textlink="">
          <xdr:nvSpPr>
            <xdr:cNvPr id="5462" name="Button 1366" hidden="1">
              <a:extLst>
                <a:ext uri="{63B3BB69-23CF-44E3-9099-C40C66FF867C}">
                  <a14:compatExt spid="_x0000_s5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296</xdr:row>
          <xdr:rowOff>0</xdr:rowOff>
        </xdr:from>
        <xdr:to>
          <xdr:col>6</xdr:col>
          <xdr:colOff>0</xdr:colOff>
          <xdr:row>297</xdr:row>
          <xdr:rowOff>0</xdr:rowOff>
        </xdr:to>
        <xdr:sp macro="" textlink="">
          <xdr:nvSpPr>
            <xdr:cNvPr id="5463" name="Button 1367" hidden="1">
              <a:extLst>
                <a:ext uri="{63B3BB69-23CF-44E3-9099-C40C66FF867C}">
                  <a14:compatExt spid="_x0000_s5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297</xdr:row>
          <xdr:rowOff>0</xdr:rowOff>
        </xdr:from>
        <xdr:to>
          <xdr:col>6</xdr:col>
          <xdr:colOff>0</xdr:colOff>
          <xdr:row>298</xdr:row>
          <xdr:rowOff>0</xdr:rowOff>
        </xdr:to>
        <xdr:sp macro="" textlink="">
          <xdr:nvSpPr>
            <xdr:cNvPr id="5464" name="Button 1368" hidden="1">
              <a:extLst>
                <a:ext uri="{63B3BB69-23CF-44E3-9099-C40C66FF867C}">
                  <a14:compatExt spid="_x0000_s5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298</xdr:row>
          <xdr:rowOff>0</xdr:rowOff>
        </xdr:from>
        <xdr:to>
          <xdr:col>6</xdr:col>
          <xdr:colOff>0</xdr:colOff>
          <xdr:row>299</xdr:row>
          <xdr:rowOff>0</xdr:rowOff>
        </xdr:to>
        <xdr:sp macro="" textlink="">
          <xdr:nvSpPr>
            <xdr:cNvPr id="5465" name="Button 1369" hidden="1">
              <a:extLst>
                <a:ext uri="{63B3BB69-23CF-44E3-9099-C40C66FF867C}">
                  <a14:compatExt spid="_x0000_s5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299</xdr:row>
          <xdr:rowOff>0</xdr:rowOff>
        </xdr:from>
        <xdr:to>
          <xdr:col>6</xdr:col>
          <xdr:colOff>0</xdr:colOff>
          <xdr:row>300</xdr:row>
          <xdr:rowOff>0</xdr:rowOff>
        </xdr:to>
        <xdr:sp macro="" textlink="">
          <xdr:nvSpPr>
            <xdr:cNvPr id="5466" name="Button 1370" hidden="1">
              <a:extLst>
                <a:ext uri="{63B3BB69-23CF-44E3-9099-C40C66FF867C}">
                  <a14:compatExt spid="_x0000_s5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300</xdr:row>
          <xdr:rowOff>0</xdr:rowOff>
        </xdr:from>
        <xdr:to>
          <xdr:col>6</xdr:col>
          <xdr:colOff>0</xdr:colOff>
          <xdr:row>301</xdr:row>
          <xdr:rowOff>0</xdr:rowOff>
        </xdr:to>
        <xdr:sp macro="" textlink="">
          <xdr:nvSpPr>
            <xdr:cNvPr id="5467" name="Button 1371" hidden="1">
              <a:extLst>
                <a:ext uri="{63B3BB69-23CF-44E3-9099-C40C66FF867C}">
                  <a14:compatExt spid="_x0000_s5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301</xdr:row>
          <xdr:rowOff>0</xdr:rowOff>
        </xdr:from>
        <xdr:to>
          <xdr:col>6</xdr:col>
          <xdr:colOff>0</xdr:colOff>
          <xdr:row>302</xdr:row>
          <xdr:rowOff>0</xdr:rowOff>
        </xdr:to>
        <xdr:sp macro="" textlink="">
          <xdr:nvSpPr>
            <xdr:cNvPr id="5468" name="Button 1372" hidden="1">
              <a:extLst>
                <a:ext uri="{63B3BB69-23CF-44E3-9099-C40C66FF867C}">
                  <a14:compatExt spid="_x0000_s5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302</xdr:row>
          <xdr:rowOff>0</xdr:rowOff>
        </xdr:from>
        <xdr:to>
          <xdr:col>6</xdr:col>
          <xdr:colOff>0</xdr:colOff>
          <xdr:row>303</xdr:row>
          <xdr:rowOff>0</xdr:rowOff>
        </xdr:to>
        <xdr:sp macro="" textlink="">
          <xdr:nvSpPr>
            <xdr:cNvPr id="5469" name="Button 1373" hidden="1">
              <a:extLst>
                <a:ext uri="{63B3BB69-23CF-44E3-9099-C40C66FF867C}">
                  <a14:compatExt spid="_x0000_s5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303</xdr:row>
          <xdr:rowOff>0</xdr:rowOff>
        </xdr:from>
        <xdr:to>
          <xdr:col>6</xdr:col>
          <xdr:colOff>0</xdr:colOff>
          <xdr:row>304</xdr:row>
          <xdr:rowOff>0</xdr:rowOff>
        </xdr:to>
        <xdr:sp macro="" textlink="">
          <xdr:nvSpPr>
            <xdr:cNvPr id="5470" name="Button 1374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304</xdr:row>
          <xdr:rowOff>0</xdr:rowOff>
        </xdr:from>
        <xdr:to>
          <xdr:col>6</xdr:col>
          <xdr:colOff>0</xdr:colOff>
          <xdr:row>305</xdr:row>
          <xdr:rowOff>0</xdr:rowOff>
        </xdr:to>
        <xdr:sp macro="" textlink="">
          <xdr:nvSpPr>
            <xdr:cNvPr id="5471" name="Button 1375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305</xdr:row>
          <xdr:rowOff>0</xdr:rowOff>
        </xdr:from>
        <xdr:to>
          <xdr:col>6</xdr:col>
          <xdr:colOff>0</xdr:colOff>
          <xdr:row>306</xdr:row>
          <xdr:rowOff>0</xdr:rowOff>
        </xdr:to>
        <xdr:sp macro="" textlink="">
          <xdr:nvSpPr>
            <xdr:cNvPr id="5472" name="Button 1376" hidden="1">
              <a:extLst>
                <a:ext uri="{63B3BB69-23CF-44E3-9099-C40C66FF867C}">
                  <a14:compatExt spid="_x0000_s5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306</xdr:row>
          <xdr:rowOff>0</xdr:rowOff>
        </xdr:from>
        <xdr:to>
          <xdr:col>6</xdr:col>
          <xdr:colOff>0</xdr:colOff>
          <xdr:row>307</xdr:row>
          <xdr:rowOff>0</xdr:rowOff>
        </xdr:to>
        <xdr:sp macro="" textlink="">
          <xdr:nvSpPr>
            <xdr:cNvPr id="5473" name="Button 1377" hidden="1">
              <a:extLst>
                <a:ext uri="{63B3BB69-23CF-44E3-9099-C40C66FF867C}">
                  <a14:compatExt spid="_x0000_s5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307</xdr:row>
          <xdr:rowOff>0</xdr:rowOff>
        </xdr:from>
        <xdr:to>
          <xdr:col>6</xdr:col>
          <xdr:colOff>0</xdr:colOff>
          <xdr:row>308</xdr:row>
          <xdr:rowOff>0</xdr:rowOff>
        </xdr:to>
        <xdr:sp macro="" textlink="">
          <xdr:nvSpPr>
            <xdr:cNvPr id="5474" name="Button 1378" hidden="1">
              <a:extLst>
                <a:ext uri="{63B3BB69-23CF-44E3-9099-C40C66FF867C}">
                  <a14:compatExt spid="_x0000_s5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308</xdr:row>
          <xdr:rowOff>0</xdr:rowOff>
        </xdr:from>
        <xdr:to>
          <xdr:col>6</xdr:col>
          <xdr:colOff>0</xdr:colOff>
          <xdr:row>309</xdr:row>
          <xdr:rowOff>0</xdr:rowOff>
        </xdr:to>
        <xdr:sp macro="" textlink="">
          <xdr:nvSpPr>
            <xdr:cNvPr id="5475" name="Button 1379" hidden="1">
              <a:extLst>
                <a:ext uri="{63B3BB69-23CF-44E3-9099-C40C66FF867C}">
                  <a14:compatExt spid="_x0000_s5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309</xdr:row>
          <xdr:rowOff>0</xdr:rowOff>
        </xdr:from>
        <xdr:to>
          <xdr:col>6</xdr:col>
          <xdr:colOff>0</xdr:colOff>
          <xdr:row>310</xdr:row>
          <xdr:rowOff>0</xdr:rowOff>
        </xdr:to>
        <xdr:sp macro="" textlink="">
          <xdr:nvSpPr>
            <xdr:cNvPr id="5476" name="Button 1380" hidden="1">
              <a:extLst>
                <a:ext uri="{63B3BB69-23CF-44E3-9099-C40C66FF867C}">
                  <a14:compatExt spid="_x0000_s5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310</xdr:row>
          <xdr:rowOff>0</xdr:rowOff>
        </xdr:from>
        <xdr:to>
          <xdr:col>6</xdr:col>
          <xdr:colOff>0</xdr:colOff>
          <xdr:row>311</xdr:row>
          <xdr:rowOff>0</xdr:rowOff>
        </xdr:to>
        <xdr:sp macro="" textlink="">
          <xdr:nvSpPr>
            <xdr:cNvPr id="5477" name="Button 1381" hidden="1">
              <a:extLst>
                <a:ext uri="{63B3BB69-23CF-44E3-9099-C40C66FF867C}">
                  <a14:compatExt spid="_x0000_s5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311</xdr:row>
          <xdr:rowOff>0</xdr:rowOff>
        </xdr:from>
        <xdr:to>
          <xdr:col>6</xdr:col>
          <xdr:colOff>0</xdr:colOff>
          <xdr:row>312</xdr:row>
          <xdr:rowOff>0</xdr:rowOff>
        </xdr:to>
        <xdr:sp macro="" textlink="">
          <xdr:nvSpPr>
            <xdr:cNvPr id="5478" name="Button 1382" hidden="1">
              <a:extLst>
                <a:ext uri="{63B3BB69-23CF-44E3-9099-C40C66FF867C}">
                  <a14:compatExt spid="_x0000_s5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312</xdr:row>
          <xdr:rowOff>0</xdr:rowOff>
        </xdr:from>
        <xdr:to>
          <xdr:col>6</xdr:col>
          <xdr:colOff>0</xdr:colOff>
          <xdr:row>313</xdr:row>
          <xdr:rowOff>0</xdr:rowOff>
        </xdr:to>
        <xdr:sp macro="" textlink="">
          <xdr:nvSpPr>
            <xdr:cNvPr id="5479" name="Button 1383" hidden="1">
              <a:extLst>
                <a:ext uri="{63B3BB69-23CF-44E3-9099-C40C66FF867C}">
                  <a14:compatExt spid="_x0000_s5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313</xdr:row>
          <xdr:rowOff>0</xdr:rowOff>
        </xdr:from>
        <xdr:to>
          <xdr:col>6</xdr:col>
          <xdr:colOff>0</xdr:colOff>
          <xdr:row>314</xdr:row>
          <xdr:rowOff>0</xdr:rowOff>
        </xdr:to>
        <xdr:sp macro="" textlink="">
          <xdr:nvSpPr>
            <xdr:cNvPr id="5480" name="Button 1384" hidden="1">
              <a:extLst>
                <a:ext uri="{63B3BB69-23CF-44E3-9099-C40C66FF867C}">
                  <a14:compatExt spid="_x0000_s5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314</xdr:row>
          <xdr:rowOff>0</xdr:rowOff>
        </xdr:from>
        <xdr:to>
          <xdr:col>6</xdr:col>
          <xdr:colOff>0</xdr:colOff>
          <xdr:row>315</xdr:row>
          <xdr:rowOff>0</xdr:rowOff>
        </xdr:to>
        <xdr:sp macro="" textlink="">
          <xdr:nvSpPr>
            <xdr:cNvPr id="5481" name="Button 1385" hidden="1">
              <a:extLst>
                <a:ext uri="{63B3BB69-23CF-44E3-9099-C40C66FF867C}">
                  <a14:compatExt spid="_x0000_s5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315</xdr:row>
          <xdr:rowOff>0</xdr:rowOff>
        </xdr:from>
        <xdr:to>
          <xdr:col>6</xdr:col>
          <xdr:colOff>0</xdr:colOff>
          <xdr:row>316</xdr:row>
          <xdr:rowOff>0</xdr:rowOff>
        </xdr:to>
        <xdr:sp macro="" textlink="">
          <xdr:nvSpPr>
            <xdr:cNvPr id="5482" name="Button 1386" hidden="1">
              <a:extLst>
                <a:ext uri="{63B3BB69-23CF-44E3-9099-C40C66FF867C}">
                  <a14:compatExt spid="_x0000_s5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316</xdr:row>
          <xdr:rowOff>0</xdr:rowOff>
        </xdr:from>
        <xdr:to>
          <xdr:col>6</xdr:col>
          <xdr:colOff>0</xdr:colOff>
          <xdr:row>317</xdr:row>
          <xdr:rowOff>0</xdr:rowOff>
        </xdr:to>
        <xdr:sp macro="" textlink="">
          <xdr:nvSpPr>
            <xdr:cNvPr id="5483" name="Button 1387" hidden="1">
              <a:extLst>
                <a:ext uri="{63B3BB69-23CF-44E3-9099-C40C66FF867C}">
                  <a14:compatExt spid="_x0000_s5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317</xdr:row>
          <xdr:rowOff>0</xdr:rowOff>
        </xdr:from>
        <xdr:to>
          <xdr:col>6</xdr:col>
          <xdr:colOff>0</xdr:colOff>
          <xdr:row>318</xdr:row>
          <xdr:rowOff>0</xdr:rowOff>
        </xdr:to>
        <xdr:sp macro="" textlink="">
          <xdr:nvSpPr>
            <xdr:cNvPr id="5484" name="Button 1388" hidden="1">
              <a:extLst>
                <a:ext uri="{63B3BB69-23CF-44E3-9099-C40C66FF867C}">
                  <a14:compatExt spid="_x0000_s5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318</xdr:row>
          <xdr:rowOff>0</xdr:rowOff>
        </xdr:from>
        <xdr:to>
          <xdr:col>6</xdr:col>
          <xdr:colOff>0</xdr:colOff>
          <xdr:row>319</xdr:row>
          <xdr:rowOff>0</xdr:rowOff>
        </xdr:to>
        <xdr:sp macro="" textlink="">
          <xdr:nvSpPr>
            <xdr:cNvPr id="5485" name="Button 1389" hidden="1">
              <a:extLst>
                <a:ext uri="{63B3BB69-23CF-44E3-9099-C40C66FF867C}">
                  <a14:compatExt spid="_x0000_s5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319</xdr:row>
          <xdr:rowOff>0</xdr:rowOff>
        </xdr:from>
        <xdr:to>
          <xdr:col>6</xdr:col>
          <xdr:colOff>0</xdr:colOff>
          <xdr:row>320</xdr:row>
          <xdr:rowOff>0</xdr:rowOff>
        </xdr:to>
        <xdr:sp macro="" textlink="">
          <xdr:nvSpPr>
            <xdr:cNvPr id="5486" name="Button 1390" hidden="1">
              <a:extLst>
                <a:ext uri="{63B3BB69-23CF-44E3-9099-C40C66FF867C}">
                  <a14:compatExt spid="_x0000_s5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320</xdr:row>
          <xdr:rowOff>0</xdr:rowOff>
        </xdr:from>
        <xdr:to>
          <xdr:col>6</xdr:col>
          <xdr:colOff>0</xdr:colOff>
          <xdr:row>321</xdr:row>
          <xdr:rowOff>0</xdr:rowOff>
        </xdr:to>
        <xdr:sp macro="" textlink="">
          <xdr:nvSpPr>
            <xdr:cNvPr id="5487" name="Button 1391" hidden="1">
              <a:extLst>
                <a:ext uri="{63B3BB69-23CF-44E3-9099-C40C66FF867C}">
                  <a14:compatExt spid="_x0000_s5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321</xdr:row>
          <xdr:rowOff>0</xdr:rowOff>
        </xdr:from>
        <xdr:to>
          <xdr:col>6</xdr:col>
          <xdr:colOff>0</xdr:colOff>
          <xdr:row>322</xdr:row>
          <xdr:rowOff>0</xdr:rowOff>
        </xdr:to>
        <xdr:sp macro="" textlink="">
          <xdr:nvSpPr>
            <xdr:cNvPr id="5488" name="Button 1392" hidden="1">
              <a:extLst>
                <a:ext uri="{63B3BB69-23CF-44E3-9099-C40C66FF867C}">
                  <a14:compatExt spid="_x0000_s5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322</xdr:row>
          <xdr:rowOff>0</xdr:rowOff>
        </xdr:from>
        <xdr:to>
          <xdr:col>6</xdr:col>
          <xdr:colOff>0</xdr:colOff>
          <xdr:row>323</xdr:row>
          <xdr:rowOff>0</xdr:rowOff>
        </xdr:to>
        <xdr:sp macro="" textlink="">
          <xdr:nvSpPr>
            <xdr:cNvPr id="5489" name="Button 1393" hidden="1">
              <a:extLst>
                <a:ext uri="{63B3BB69-23CF-44E3-9099-C40C66FF867C}">
                  <a14:compatExt spid="_x0000_s5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323</xdr:row>
          <xdr:rowOff>0</xdr:rowOff>
        </xdr:from>
        <xdr:to>
          <xdr:col>6</xdr:col>
          <xdr:colOff>0</xdr:colOff>
          <xdr:row>324</xdr:row>
          <xdr:rowOff>0</xdr:rowOff>
        </xdr:to>
        <xdr:sp macro="" textlink="">
          <xdr:nvSpPr>
            <xdr:cNvPr id="5490" name="Button 1394" hidden="1">
              <a:extLst>
                <a:ext uri="{63B3BB69-23CF-44E3-9099-C40C66FF867C}">
                  <a14:compatExt spid="_x0000_s5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324</xdr:row>
          <xdr:rowOff>0</xdr:rowOff>
        </xdr:from>
        <xdr:to>
          <xdr:col>6</xdr:col>
          <xdr:colOff>0</xdr:colOff>
          <xdr:row>325</xdr:row>
          <xdr:rowOff>0</xdr:rowOff>
        </xdr:to>
        <xdr:sp macro="" textlink="">
          <xdr:nvSpPr>
            <xdr:cNvPr id="5491" name="Button 1395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325</xdr:row>
          <xdr:rowOff>0</xdr:rowOff>
        </xdr:from>
        <xdr:to>
          <xdr:col>6</xdr:col>
          <xdr:colOff>0</xdr:colOff>
          <xdr:row>326</xdr:row>
          <xdr:rowOff>0</xdr:rowOff>
        </xdr:to>
        <xdr:sp macro="" textlink="">
          <xdr:nvSpPr>
            <xdr:cNvPr id="5492" name="Button 1396" hidden="1">
              <a:extLst>
                <a:ext uri="{63B3BB69-23CF-44E3-9099-C40C66FF867C}">
                  <a14:compatExt spid="_x0000_s5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326</xdr:row>
          <xdr:rowOff>0</xdr:rowOff>
        </xdr:from>
        <xdr:to>
          <xdr:col>6</xdr:col>
          <xdr:colOff>0</xdr:colOff>
          <xdr:row>327</xdr:row>
          <xdr:rowOff>0</xdr:rowOff>
        </xdr:to>
        <xdr:sp macro="" textlink="">
          <xdr:nvSpPr>
            <xdr:cNvPr id="5493" name="Button 1397" hidden="1">
              <a:extLst>
                <a:ext uri="{63B3BB69-23CF-44E3-9099-C40C66FF867C}">
                  <a14:compatExt spid="_x0000_s5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327</xdr:row>
          <xdr:rowOff>0</xdr:rowOff>
        </xdr:from>
        <xdr:to>
          <xdr:col>6</xdr:col>
          <xdr:colOff>0</xdr:colOff>
          <xdr:row>328</xdr:row>
          <xdr:rowOff>0</xdr:rowOff>
        </xdr:to>
        <xdr:sp macro="" textlink="">
          <xdr:nvSpPr>
            <xdr:cNvPr id="5494" name="Button 1398" hidden="1">
              <a:extLst>
                <a:ext uri="{63B3BB69-23CF-44E3-9099-C40C66FF867C}">
                  <a14:compatExt spid="_x0000_s5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328</xdr:row>
          <xdr:rowOff>0</xdr:rowOff>
        </xdr:from>
        <xdr:to>
          <xdr:col>6</xdr:col>
          <xdr:colOff>0</xdr:colOff>
          <xdr:row>329</xdr:row>
          <xdr:rowOff>0</xdr:rowOff>
        </xdr:to>
        <xdr:sp macro="" textlink="">
          <xdr:nvSpPr>
            <xdr:cNvPr id="5495" name="Button 1399" hidden="1">
              <a:extLst>
                <a:ext uri="{63B3BB69-23CF-44E3-9099-C40C66FF867C}">
                  <a14:compatExt spid="_x0000_s5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329</xdr:row>
          <xdr:rowOff>0</xdr:rowOff>
        </xdr:from>
        <xdr:to>
          <xdr:col>6</xdr:col>
          <xdr:colOff>0</xdr:colOff>
          <xdr:row>330</xdr:row>
          <xdr:rowOff>0</xdr:rowOff>
        </xdr:to>
        <xdr:sp macro="" textlink="">
          <xdr:nvSpPr>
            <xdr:cNvPr id="5496" name="Button 1400" hidden="1">
              <a:extLst>
                <a:ext uri="{63B3BB69-23CF-44E3-9099-C40C66FF867C}">
                  <a14:compatExt spid="_x0000_s5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330</xdr:row>
          <xdr:rowOff>0</xdr:rowOff>
        </xdr:from>
        <xdr:to>
          <xdr:col>6</xdr:col>
          <xdr:colOff>0</xdr:colOff>
          <xdr:row>331</xdr:row>
          <xdr:rowOff>0</xdr:rowOff>
        </xdr:to>
        <xdr:sp macro="" textlink="">
          <xdr:nvSpPr>
            <xdr:cNvPr id="5497" name="Button 1401" hidden="1">
              <a:extLst>
                <a:ext uri="{63B3BB69-23CF-44E3-9099-C40C66FF867C}">
                  <a14:compatExt spid="_x0000_s5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331</xdr:row>
          <xdr:rowOff>0</xdr:rowOff>
        </xdr:from>
        <xdr:to>
          <xdr:col>6</xdr:col>
          <xdr:colOff>0</xdr:colOff>
          <xdr:row>332</xdr:row>
          <xdr:rowOff>0</xdr:rowOff>
        </xdr:to>
        <xdr:sp macro="" textlink="">
          <xdr:nvSpPr>
            <xdr:cNvPr id="5498" name="Button 1402" hidden="1">
              <a:extLst>
                <a:ext uri="{63B3BB69-23CF-44E3-9099-C40C66FF867C}">
                  <a14:compatExt spid="_x0000_s5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332</xdr:row>
          <xdr:rowOff>0</xdr:rowOff>
        </xdr:from>
        <xdr:to>
          <xdr:col>6</xdr:col>
          <xdr:colOff>0</xdr:colOff>
          <xdr:row>333</xdr:row>
          <xdr:rowOff>0</xdr:rowOff>
        </xdr:to>
        <xdr:sp macro="" textlink="">
          <xdr:nvSpPr>
            <xdr:cNvPr id="5499" name="Button 1403" hidden="1">
              <a:extLst>
                <a:ext uri="{63B3BB69-23CF-44E3-9099-C40C66FF867C}">
                  <a14:compatExt spid="_x0000_s5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333</xdr:row>
          <xdr:rowOff>0</xdr:rowOff>
        </xdr:from>
        <xdr:to>
          <xdr:col>6</xdr:col>
          <xdr:colOff>0</xdr:colOff>
          <xdr:row>334</xdr:row>
          <xdr:rowOff>0</xdr:rowOff>
        </xdr:to>
        <xdr:sp macro="" textlink="">
          <xdr:nvSpPr>
            <xdr:cNvPr id="5500" name="Button 1404" hidden="1">
              <a:extLst>
                <a:ext uri="{63B3BB69-23CF-44E3-9099-C40C66FF867C}">
                  <a14:compatExt spid="_x0000_s5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334</xdr:row>
          <xdr:rowOff>0</xdr:rowOff>
        </xdr:from>
        <xdr:to>
          <xdr:col>6</xdr:col>
          <xdr:colOff>0</xdr:colOff>
          <xdr:row>335</xdr:row>
          <xdr:rowOff>0</xdr:rowOff>
        </xdr:to>
        <xdr:sp macro="" textlink="">
          <xdr:nvSpPr>
            <xdr:cNvPr id="5501" name="Button 1405" hidden="1">
              <a:extLst>
                <a:ext uri="{63B3BB69-23CF-44E3-9099-C40C66FF867C}">
                  <a14:compatExt spid="_x0000_s5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335</xdr:row>
          <xdr:rowOff>0</xdr:rowOff>
        </xdr:from>
        <xdr:to>
          <xdr:col>6</xdr:col>
          <xdr:colOff>0</xdr:colOff>
          <xdr:row>336</xdr:row>
          <xdr:rowOff>0</xdr:rowOff>
        </xdr:to>
        <xdr:sp macro="" textlink="">
          <xdr:nvSpPr>
            <xdr:cNvPr id="5502" name="Button 1406" hidden="1">
              <a:extLst>
                <a:ext uri="{63B3BB69-23CF-44E3-9099-C40C66FF867C}">
                  <a14:compatExt spid="_x0000_s5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336</xdr:row>
          <xdr:rowOff>0</xdr:rowOff>
        </xdr:from>
        <xdr:to>
          <xdr:col>6</xdr:col>
          <xdr:colOff>0</xdr:colOff>
          <xdr:row>337</xdr:row>
          <xdr:rowOff>0</xdr:rowOff>
        </xdr:to>
        <xdr:sp macro="" textlink="">
          <xdr:nvSpPr>
            <xdr:cNvPr id="5503" name="Button 1407" hidden="1">
              <a:extLst>
                <a:ext uri="{63B3BB69-23CF-44E3-9099-C40C66FF867C}">
                  <a14:compatExt spid="_x0000_s5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337</xdr:row>
          <xdr:rowOff>0</xdr:rowOff>
        </xdr:from>
        <xdr:to>
          <xdr:col>6</xdr:col>
          <xdr:colOff>0</xdr:colOff>
          <xdr:row>338</xdr:row>
          <xdr:rowOff>0</xdr:rowOff>
        </xdr:to>
        <xdr:sp macro="" textlink="">
          <xdr:nvSpPr>
            <xdr:cNvPr id="5504" name="Button 1408" hidden="1">
              <a:extLst>
                <a:ext uri="{63B3BB69-23CF-44E3-9099-C40C66FF867C}">
                  <a14:compatExt spid="_x0000_s5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338</xdr:row>
          <xdr:rowOff>0</xdr:rowOff>
        </xdr:from>
        <xdr:to>
          <xdr:col>6</xdr:col>
          <xdr:colOff>0</xdr:colOff>
          <xdr:row>339</xdr:row>
          <xdr:rowOff>0</xdr:rowOff>
        </xdr:to>
        <xdr:sp macro="" textlink="">
          <xdr:nvSpPr>
            <xdr:cNvPr id="5505" name="Button 1409" hidden="1">
              <a:extLst>
                <a:ext uri="{63B3BB69-23CF-44E3-9099-C40C66FF867C}">
                  <a14:compatExt spid="_x0000_s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339</xdr:row>
          <xdr:rowOff>0</xdr:rowOff>
        </xdr:from>
        <xdr:to>
          <xdr:col>6</xdr:col>
          <xdr:colOff>0</xdr:colOff>
          <xdr:row>340</xdr:row>
          <xdr:rowOff>0</xdr:rowOff>
        </xdr:to>
        <xdr:sp macro="" textlink="">
          <xdr:nvSpPr>
            <xdr:cNvPr id="5506" name="Button 1410" hidden="1">
              <a:extLst>
                <a:ext uri="{63B3BB69-23CF-44E3-9099-C40C66FF867C}">
                  <a14:compatExt spid="_x0000_s5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340</xdr:row>
          <xdr:rowOff>0</xdr:rowOff>
        </xdr:from>
        <xdr:to>
          <xdr:col>6</xdr:col>
          <xdr:colOff>0</xdr:colOff>
          <xdr:row>341</xdr:row>
          <xdr:rowOff>0</xdr:rowOff>
        </xdr:to>
        <xdr:sp macro="" textlink="">
          <xdr:nvSpPr>
            <xdr:cNvPr id="5507" name="Button 1411" hidden="1">
              <a:extLst>
                <a:ext uri="{63B3BB69-23CF-44E3-9099-C40C66FF867C}">
                  <a14:compatExt spid="_x0000_s5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341</xdr:row>
          <xdr:rowOff>0</xdr:rowOff>
        </xdr:from>
        <xdr:to>
          <xdr:col>6</xdr:col>
          <xdr:colOff>0</xdr:colOff>
          <xdr:row>342</xdr:row>
          <xdr:rowOff>0</xdr:rowOff>
        </xdr:to>
        <xdr:sp macro="" textlink="">
          <xdr:nvSpPr>
            <xdr:cNvPr id="5508" name="Button 1412" hidden="1">
              <a:extLst>
                <a:ext uri="{63B3BB69-23CF-44E3-9099-C40C66FF867C}">
                  <a14:compatExt spid="_x0000_s5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342</xdr:row>
          <xdr:rowOff>0</xdr:rowOff>
        </xdr:from>
        <xdr:to>
          <xdr:col>6</xdr:col>
          <xdr:colOff>0</xdr:colOff>
          <xdr:row>343</xdr:row>
          <xdr:rowOff>0</xdr:rowOff>
        </xdr:to>
        <xdr:sp macro="" textlink="">
          <xdr:nvSpPr>
            <xdr:cNvPr id="5509" name="Button 1413" hidden="1">
              <a:extLst>
                <a:ext uri="{63B3BB69-23CF-44E3-9099-C40C66FF867C}">
                  <a14:compatExt spid="_x0000_s5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343</xdr:row>
          <xdr:rowOff>0</xdr:rowOff>
        </xdr:from>
        <xdr:to>
          <xdr:col>6</xdr:col>
          <xdr:colOff>0</xdr:colOff>
          <xdr:row>344</xdr:row>
          <xdr:rowOff>0</xdr:rowOff>
        </xdr:to>
        <xdr:sp macro="" textlink="">
          <xdr:nvSpPr>
            <xdr:cNvPr id="5510" name="Button 1414" hidden="1">
              <a:extLst>
                <a:ext uri="{63B3BB69-23CF-44E3-9099-C40C66FF867C}">
                  <a14:compatExt spid="_x0000_s5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344</xdr:row>
          <xdr:rowOff>0</xdr:rowOff>
        </xdr:from>
        <xdr:to>
          <xdr:col>6</xdr:col>
          <xdr:colOff>0</xdr:colOff>
          <xdr:row>345</xdr:row>
          <xdr:rowOff>0</xdr:rowOff>
        </xdr:to>
        <xdr:sp macro="" textlink="">
          <xdr:nvSpPr>
            <xdr:cNvPr id="5511" name="Button 1415" hidden="1">
              <a:extLst>
                <a:ext uri="{63B3BB69-23CF-44E3-9099-C40C66FF867C}">
                  <a14:compatExt spid="_x0000_s5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345</xdr:row>
          <xdr:rowOff>0</xdr:rowOff>
        </xdr:from>
        <xdr:to>
          <xdr:col>6</xdr:col>
          <xdr:colOff>0</xdr:colOff>
          <xdr:row>346</xdr:row>
          <xdr:rowOff>0</xdr:rowOff>
        </xdr:to>
        <xdr:sp macro="" textlink="">
          <xdr:nvSpPr>
            <xdr:cNvPr id="5512" name="Button 1416" hidden="1">
              <a:extLst>
                <a:ext uri="{63B3BB69-23CF-44E3-9099-C40C66FF867C}">
                  <a14:compatExt spid="_x0000_s5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346</xdr:row>
          <xdr:rowOff>0</xdr:rowOff>
        </xdr:from>
        <xdr:to>
          <xdr:col>6</xdr:col>
          <xdr:colOff>0</xdr:colOff>
          <xdr:row>347</xdr:row>
          <xdr:rowOff>0</xdr:rowOff>
        </xdr:to>
        <xdr:sp macro="" textlink="">
          <xdr:nvSpPr>
            <xdr:cNvPr id="5513" name="Button 1417" hidden="1">
              <a:extLst>
                <a:ext uri="{63B3BB69-23CF-44E3-9099-C40C66FF867C}">
                  <a14:compatExt spid="_x0000_s5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347</xdr:row>
          <xdr:rowOff>0</xdr:rowOff>
        </xdr:from>
        <xdr:to>
          <xdr:col>6</xdr:col>
          <xdr:colOff>0</xdr:colOff>
          <xdr:row>348</xdr:row>
          <xdr:rowOff>0</xdr:rowOff>
        </xdr:to>
        <xdr:sp macro="" textlink="">
          <xdr:nvSpPr>
            <xdr:cNvPr id="5514" name="Button 1418" hidden="1">
              <a:extLst>
                <a:ext uri="{63B3BB69-23CF-44E3-9099-C40C66FF867C}">
                  <a14:compatExt spid="_x0000_s5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348</xdr:row>
          <xdr:rowOff>0</xdr:rowOff>
        </xdr:from>
        <xdr:to>
          <xdr:col>6</xdr:col>
          <xdr:colOff>0</xdr:colOff>
          <xdr:row>349</xdr:row>
          <xdr:rowOff>0</xdr:rowOff>
        </xdr:to>
        <xdr:sp macro="" textlink="">
          <xdr:nvSpPr>
            <xdr:cNvPr id="5515" name="Button 1419" hidden="1">
              <a:extLst>
                <a:ext uri="{63B3BB69-23CF-44E3-9099-C40C66FF867C}">
                  <a14:compatExt spid="_x0000_s5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349</xdr:row>
          <xdr:rowOff>0</xdr:rowOff>
        </xdr:from>
        <xdr:to>
          <xdr:col>6</xdr:col>
          <xdr:colOff>0</xdr:colOff>
          <xdr:row>350</xdr:row>
          <xdr:rowOff>0</xdr:rowOff>
        </xdr:to>
        <xdr:sp macro="" textlink="">
          <xdr:nvSpPr>
            <xdr:cNvPr id="5516" name="Button 1420" hidden="1">
              <a:extLst>
                <a:ext uri="{63B3BB69-23CF-44E3-9099-C40C66FF867C}">
                  <a14:compatExt spid="_x0000_s5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350</xdr:row>
          <xdr:rowOff>0</xdr:rowOff>
        </xdr:from>
        <xdr:to>
          <xdr:col>6</xdr:col>
          <xdr:colOff>0</xdr:colOff>
          <xdr:row>351</xdr:row>
          <xdr:rowOff>0</xdr:rowOff>
        </xdr:to>
        <xdr:sp macro="" textlink="">
          <xdr:nvSpPr>
            <xdr:cNvPr id="5517" name="Button 1421" hidden="1">
              <a:extLst>
                <a:ext uri="{63B3BB69-23CF-44E3-9099-C40C66FF867C}">
                  <a14:compatExt spid="_x0000_s5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351</xdr:row>
          <xdr:rowOff>0</xdr:rowOff>
        </xdr:from>
        <xdr:to>
          <xdr:col>6</xdr:col>
          <xdr:colOff>0</xdr:colOff>
          <xdr:row>352</xdr:row>
          <xdr:rowOff>0</xdr:rowOff>
        </xdr:to>
        <xdr:sp macro="" textlink="">
          <xdr:nvSpPr>
            <xdr:cNvPr id="5518" name="Button 1422" hidden="1">
              <a:extLst>
                <a:ext uri="{63B3BB69-23CF-44E3-9099-C40C66FF867C}">
                  <a14:compatExt spid="_x0000_s5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352</xdr:row>
          <xdr:rowOff>0</xdr:rowOff>
        </xdr:from>
        <xdr:to>
          <xdr:col>6</xdr:col>
          <xdr:colOff>0</xdr:colOff>
          <xdr:row>353</xdr:row>
          <xdr:rowOff>0</xdr:rowOff>
        </xdr:to>
        <xdr:sp macro="" textlink="">
          <xdr:nvSpPr>
            <xdr:cNvPr id="5519" name="Button 1423" hidden="1">
              <a:extLst>
                <a:ext uri="{63B3BB69-23CF-44E3-9099-C40C66FF867C}">
                  <a14:compatExt spid="_x0000_s5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353</xdr:row>
          <xdr:rowOff>0</xdr:rowOff>
        </xdr:from>
        <xdr:to>
          <xdr:col>6</xdr:col>
          <xdr:colOff>0</xdr:colOff>
          <xdr:row>354</xdr:row>
          <xdr:rowOff>0</xdr:rowOff>
        </xdr:to>
        <xdr:sp macro="" textlink="">
          <xdr:nvSpPr>
            <xdr:cNvPr id="5520" name="Button 1424" hidden="1">
              <a:extLst>
                <a:ext uri="{63B3BB69-23CF-44E3-9099-C40C66FF867C}">
                  <a14:compatExt spid="_x0000_s5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354</xdr:row>
          <xdr:rowOff>0</xdr:rowOff>
        </xdr:from>
        <xdr:to>
          <xdr:col>6</xdr:col>
          <xdr:colOff>0</xdr:colOff>
          <xdr:row>355</xdr:row>
          <xdr:rowOff>0</xdr:rowOff>
        </xdr:to>
        <xdr:sp macro="" textlink="">
          <xdr:nvSpPr>
            <xdr:cNvPr id="5521" name="Button 1425" hidden="1">
              <a:extLst>
                <a:ext uri="{63B3BB69-23CF-44E3-9099-C40C66FF867C}">
                  <a14:compatExt spid="_x0000_s5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355</xdr:row>
          <xdr:rowOff>0</xdr:rowOff>
        </xdr:from>
        <xdr:to>
          <xdr:col>6</xdr:col>
          <xdr:colOff>0</xdr:colOff>
          <xdr:row>356</xdr:row>
          <xdr:rowOff>0</xdr:rowOff>
        </xdr:to>
        <xdr:sp macro="" textlink="">
          <xdr:nvSpPr>
            <xdr:cNvPr id="5522" name="Button 1426" hidden="1">
              <a:extLst>
                <a:ext uri="{63B3BB69-23CF-44E3-9099-C40C66FF867C}">
                  <a14:compatExt spid="_x0000_s5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356</xdr:row>
          <xdr:rowOff>0</xdr:rowOff>
        </xdr:from>
        <xdr:to>
          <xdr:col>6</xdr:col>
          <xdr:colOff>0</xdr:colOff>
          <xdr:row>357</xdr:row>
          <xdr:rowOff>0</xdr:rowOff>
        </xdr:to>
        <xdr:sp macro="" textlink="">
          <xdr:nvSpPr>
            <xdr:cNvPr id="5523" name="Button 1427" hidden="1">
              <a:extLst>
                <a:ext uri="{63B3BB69-23CF-44E3-9099-C40C66FF867C}">
                  <a14:compatExt spid="_x0000_s5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357</xdr:row>
          <xdr:rowOff>0</xdr:rowOff>
        </xdr:from>
        <xdr:to>
          <xdr:col>6</xdr:col>
          <xdr:colOff>0</xdr:colOff>
          <xdr:row>358</xdr:row>
          <xdr:rowOff>0</xdr:rowOff>
        </xdr:to>
        <xdr:sp macro="" textlink="">
          <xdr:nvSpPr>
            <xdr:cNvPr id="5524" name="Button 1428" hidden="1">
              <a:extLst>
                <a:ext uri="{63B3BB69-23CF-44E3-9099-C40C66FF867C}">
                  <a14:compatExt spid="_x0000_s5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358</xdr:row>
          <xdr:rowOff>0</xdr:rowOff>
        </xdr:from>
        <xdr:to>
          <xdr:col>6</xdr:col>
          <xdr:colOff>0</xdr:colOff>
          <xdr:row>359</xdr:row>
          <xdr:rowOff>0</xdr:rowOff>
        </xdr:to>
        <xdr:sp macro="" textlink="">
          <xdr:nvSpPr>
            <xdr:cNvPr id="5525" name="Button 1429" hidden="1">
              <a:extLst>
                <a:ext uri="{63B3BB69-23CF-44E3-9099-C40C66FF867C}">
                  <a14:compatExt spid="_x0000_s5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359</xdr:row>
          <xdr:rowOff>0</xdr:rowOff>
        </xdr:from>
        <xdr:to>
          <xdr:col>6</xdr:col>
          <xdr:colOff>0</xdr:colOff>
          <xdr:row>360</xdr:row>
          <xdr:rowOff>0</xdr:rowOff>
        </xdr:to>
        <xdr:sp macro="" textlink="">
          <xdr:nvSpPr>
            <xdr:cNvPr id="5526" name="Button 1430" hidden="1">
              <a:extLst>
                <a:ext uri="{63B3BB69-23CF-44E3-9099-C40C66FF867C}">
                  <a14:compatExt spid="_x0000_s5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360</xdr:row>
          <xdr:rowOff>0</xdr:rowOff>
        </xdr:from>
        <xdr:to>
          <xdr:col>6</xdr:col>
          <xdr:colOff>0</xdr:colOff>
          <xdr:row>361</xdr:row>
          <xdr:rowOff>0</xdr:rowOff>
        </xdr:to>
        <xdr:sp macro="" textlink="">
          <xdr:nvSpPr>
            <xdr:cNvPr id="5527" name="Button 1431" hidden="1">
              <a:extLst>
                <a:ext uri="{63B3BB69-23CF-44E3-9099-C40C66FF867C}">
                  <a14:compatExt spid="_x0000_s5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361</xdr:row>
          <xdr:rowOff>0</xdr:rowOff>
        </xdr:from>
        <xdr:to>
          <xdr:col>6</xdr:col>
          <xdr:colOff>0</xdr:colOff>
          <xdr:row>362</xdr:row>
          <xdr:rowOff>0</xdr:rowOff>
        </xdr:to>
        <xdr:sp macro="" textlink="">
          <xdr:nvSpPr>
            <xdr:cNvPr id="5528" name="Button 1432" hidden="1">
              <a:extLst>
                <a:ext uri="{63B3BB69-23CF-44E3-9099-C40C66FF867C}">
                  <a14:compatExt spid="_x0000_s5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362</xdr:row>
          <xdr:rowOff>0</xdr:rowOff>
        </xdr:from>
        <xdr:to>
          <xdr:col>6</xdr:col>
          <xdr:colOff>0</xdr:colOff>
          <xdr:row>363</xdr:row>
          <xdr:rowOff>0</xdr:rowOff>
        </xdr:to>
        <xdr:sp macro="" textlink="">
          <xdr:nvSpPr>
            <xdr:cNvPr id="5529" name="Button 1433" hidden="1">
              <a:extLst>
                <a:ext uri="{63B3BB69-23CF-44E3-9099-C40C66FF867C}">
                  <a14:compatExt spid="_x0000_s5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363</xdr:row>
          <xdr:rowOff>0</xdr:rowOff>
        </xdr:from>
        <xdr:to>
          <xdr:col>6</xdr:col>
          <xdr:colOff>0</xdr:colOff>
          <xdr:row>364</xdr:row>
          <xdr:rowOff>0</xdr:rowOff>
        </xdr:to>
        <xdr:sp macro="" textlink="">
          <xdr:nvSpPr>
            <xdr:cNvPr id="5530" name="Button 1434" hidden="1">
              <a:extLst>
                <a:ext uri="{63B3BB69-23CF-44E3-9099-C40C66FF867C}">
                  <a14:compatExt spid="_x0000_s5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364</xdr:row>
          <xdr:rowOff>0</xdr:rowOff>
        </xdr:from>
        <xdr:to>
          <xdr:col>6</xdr:col>
          <xdr:colOff>0</xdr:colOff>
          <xdr:row>365</xdr:row>
          <xdr:rowOff>0</xdr:rowOff>
        </xdr:to>
        <xdr:sp macro="" textlink="">
          <xdr:nvSpPr>
            <xdr:cNvPr id="5531" name="Button 1435" hidden="1">
              <a:extLst>
                <a:ext uri="{63B3BB69-23CF-44E3-9099-C40C66FF867C}">
                  <a14:compatExt spid="_x0000_s5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365</xdr:row>
          <xdr:rowOff>0</xdr:rowOff>
        </xdr:from>
        <xdr:to>
          <xdr:col>6</xdr:col>
          <xdr:colOff>0</xdr:colOff>
          <xdr:row>366</xdr:row>
          <xdr:rowOff>0</xdr:rowOff>
        </xdr:to>
        <xdr:sp macro="" textlink="">
          <xdr:nvSpPr>
            <xdr:cNvPr id="5532" name="Button 1436" hidden="1">
              <a:extLst>
                <a:ext uri="{63B3BB69-23CF-44E3-9099-C40C66FF867C}">
                  <a14:compatExt spid="_x0000_s5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366</xdr:row>
          <xdr:rowOff>0</xdr:rowOff>
        </xdr:from>
        <xdr:to>
          <xdr:col>6</xdr:col>
          <xdr:colOff>0</xdr:colOff>
          <xdr:row>367</xdr:row>
          <xdr:rowOff>0</xdr:rowOff>
        </xdr:to>
        <xdr:sp macro="" textlink="">
          <xdr:nvSpPr>
            <xdr:cNvPr id="5533" name="Button 1437" hidden="1">
              <a:extLst>
                <a:ext uri="{63B3BB69-23CF-44E3-9099-C40C66FF867C}">
                  <a14:compatExt spid="_x0000_s5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367</xdr:row>
          <xdr:rowOff>0</xdr:rowOff>
        </xdr:from>
        <xdr:to>
          <xdr:col>6</xdr:col>
          <xdr:colOff>0</xdr:colOff>
          <xdr:row>368</xdr:row>
          <xdr:rowOff>0</xdr:rowOff>
        </xdr:to>
        <xdr:sp macro="" textlink="">
          <xdr:nvSpPr>
            <xdr:cNvPr id="5534" name="Button 1438" hidden="1">
              <a:extLst>
                <a:ext uri="{63B3BB69-23CF-44E3-9099-C40C66FF867C}">
                  <a14:compatExt spid="_x0000_s5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368</xdr:row>
          <xdr:rowOff>0</xdr:rowOff>
        </xdr:from>
        <xdr:to>
          <xdr:col>6</xdr:col>
          <xdr:colOff>0</xdr:colOff>
          <xdr:row>369</xdr:row>
          <xdr:rowOff>0</xdr:rowOff>
        </xdr:to>
        <xdr:sp macro="" textlink="">
          <xdr:nvSpPr>
            <xdr:cNvPr id="5535" name="Button 1439" hidden="1">
              <a:extLst>
                <a:ext uri="{63B3BB69-23CF-44E3-9099-C40C66FF867C}">
                  <a14:compatExt spid="_x0000_s5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369</xdr:row>
          <xdr:rowOff>0</xdr:rowOff>
        </xdr:from>
        <xdr:to>
          <xdr:col>6</xdr:col>
          <xdr:colOff>0</xdr:colOff>
          <xdr:row>370</xdr:row>
          <xdr:rowOff>0</xdr:rowOff>
        </xdr:to>
        <xdr:sp macro="" textlink="">
          <xdr:nvSpPr>
            <xdr:cNvPr id="5536" name="Button 1440" hidden="1">
              <a:extLst>
                <a:ext uri="{63B3BB69-23CF-44E3-9099-C40C66FF867C}">
                  <a14:compatExt spid="_x0000_s5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370</xdr:row>
          <xdr:rowOff>0</xdr:rowOff>
        </xdr:from>
        <xdr:to>
          <xdr:col>6</xdr:col>
          <xdr:colOff>0</xdr:colOff>
          <xdr:row>371</xdr:row>
          <xdr:rowOff>0</xdr:rowOff>
        </xdr:to>
        <xdr:sp macro="" textlink="">
          <xdr:nvSpPr>
            <xdr:cNvPr id="5537" name="Button 1441" hidden="1">
              <a:extLst>
                <a:ext uri="{63B3BB69-23CF-44E3-9099-C40C66FF867C}">
                  <a14:compatExt spid="_x0000_s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371</xdr:row>
          <xdr:rowOff>0</xdr:rowOff>
        </xdr:from>
        <xdr:to>
          <xdr:col>6</xdr:col>
          <xdr:colOff>0</xdr:colOff>
          <xdr:row>372</xdr:row>
          <xdr:rowOff>0</xdr:rowOff>
        </xdr:to>
        <xdr:sp macro="" textlink="">
          <xdr:nvSpPr>
            <xdr:cNvPr id="5538" name="Button 1442" hidden="1">
              <a:extLst>
                <a:ext uri="{63B3BB69-23CF-44E3-9099-C40C66FF867C}">
                  <a14:compatExt spid="_x0000_s5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372</xdr:row>
          <xdr:rowOff>0</xdr:rowOff>
        </xdr:from>
        <xdr:to>
          <xdr:col>6</xdr:col>
          <xdr:colOff>0</xdr:colOff>
          <xdr:row>373</xdr:row>
          <xdr:rowOff>0</xdr:rowOff>
        </xdr:to>
        <xdr:sp macro="" textlink="">
          <xdr:nvSpPr>
            <xdr:cNvPr id="5539" name="Button 1443" hidden="1">
              <a:extLst>
                <a:ext uri="{63B3BB69-23CF-44E3-9099-C40C66FF867C}">
                  <a14:compatExt spid="_x0000_s5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373</xdr:row>
          <xdr:rowOff>0</xdr:rowOff>
        </xdr:from>
        <xdr:to>
          <xdr:col>6</xdr:col>
          <xdr:colOff>0</xdr:colOff>
          <xdr:row>374</xdr:row>
          <xdr:rowOff>0</xdr:rowOff>
        </xdr:to>
        <xdr:sp macro="" textlink="">
          <xdr:nvSpPr>
            <xdr:cNvPr id="5540" name="Button 1444" hidden="1">
              <a:extLst>
                <a:ext uri="{63B3BB69-23CF-44E3-9099-C40C66FF867C}">
                  <a14:compatExt spid="_x0000_s5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374</xdr:row>
          <xdr:rowOff>0</xdr:rowOff>
        </xdr:from>
        <xdr:to>
          <xdr:col>6</xdr:col>
          <xdr:colOff>0</xdr:colOff>
          <xdr:row>375</xdr:row>
          <xdr:rowOff>0</xdr:rowOff>
        </xdr:to>
        <xdr:sp macro="" textlink="">
          <xdr:nvSpPr>
            <xdr:cNvPr id="5541" name="Button 1445" hidden="1">
              <a:extLst>
                <a:ext uri="{63B3BB69-23CF-44E3-9099-C40C66FF867C}">
                  <a14:compatExt spid="_x0000_s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375</xdr:row>
          <xdr:rowOff>0</xdr:rowOff>
        </xdr:from>
        <xdr:to>
          <xdr:col>6</xdr:col>
          <xdr:colOff>0</xdr:colOff>
          <xdr:row>376</xdr:row>
          <xdr:rowOff>0</xdr:rowOff>
        </xdr:to>
        <xdr:sp macro="" textlink="">
          <xdr:nvSpPr>
            <xdr:cNvPr id="5542" name="Button 1446" hidden="1">
              <a:extLst>
                <a:ext uri="{63B3BB69-23CF-44E3-9099-C40C66FF867C}">
                  <a14:compatExt spid="_x0000_s5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376</xdr:row>
          <xdr:rowOff>0</xdr:rowOff>
        </xdr:from>
        <xdr:to>
          <xdr:col>6</xdr:col>
          <xdr:colOff>0</xdr:colOff>
          <xdr:row>377</xdr:row>
          <xdr:rowOff>0</xdr:rowOff>
        </xdr:to>
        <xdr:sp macro="" textlink="">
          <xdr:nvSpPr>
            <xdr:cNvPr id="5543" name="Button 1447" hidden="1">
              <a:extLst>
                <a:ext uri="{63B3BB69-23CF-44E3-9099-C40C66FF867C}">
                  <a14:compatExt spid="_x0000_s5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377</xdr:row>
          <xdr:rowOff>0</xdr:rowOff>
        </xdr:from>
        <xdr:to>
          <xdr:col>6</xdr:col>
          <xdr:colOff>0</xdr:colOff>
          <xdr:row>378</xdr:row>
          <xdr:rowOff>0</xdr:rowOff>
        </xdr:to>
        <xdr:sp macro="" textlink="">
          <xdr:nvSpPr>
            <xdr:cNvPr id="5544" name="Button 1448" hidden="1">
              <a:extLst>
                <a:ext uri="{63B3BB69-23CF-44E3-9099-C40C66FF867C}">
                  <a14:compatExt spid="_x0000_s5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378</xdr:row>
          <xdr:rowOff>0</xdr:rowOff>
        </xdr:from>
        <xdr:to>
          <xdr:col>6</xdr:col>
          <xdr:colOff>0</xdr:colOff>
          <xdr:row>379</xdr:row>
          <xdr:rowOff>0</xdr:rowOff>
        </xdr:to>
        <xdr:sp macro="" textlink="">
          <xdr:nvSpPr>
            <xdr:cNvPr id="5545" name="Button 1449" hidden="1">
              <a:extLst>
                <a:ext uri="{63B3BB69-23CF-44E3-9099-C40C66FF867C}">
                  <a14:compatExt spid="_x0000_s5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379</xdr:row>
          <xdr:rowOff>0</xdr:rowOff>
        </xdr:from>
        <xdr:to>
          <xdr:col>6</xdr:col>
          <xdr:colOff>0</xdr:colOff>
          <xdr:row>380</xdr:row>
          <xdr:rowOff>0</xdr:rowOff>
        </xdr:to>
        <xdr:sp macro="" textlink="">
          <xdr:nvSpPr>
            <xdr:cNvPr id="5546" name="Button 1450" hidden="1">
              <a:extLst>
                <a:ext uri="{63B3BB69-23CF-44E3-9099-C40C66FF867C}">
                  <a14:compatExt spid="_x0000_s5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380</xdr:row>
          <xdr:rowOff>0</xdr:rowOff>
        </xdr:from>
        <xdr:to>
          <xdr:col>6</xdr:col>
          <xdr:colOff>0</xdr:colOff>
          <xdr:row>381</xdr:row>
          <xdr:rowOff>0</xdr:rowOff>
        </xdr:to>
        <xdr:sp macro="" textlink="">
          <xdr:nvSpPr>
            <xdr:cNvPr id="5547" name="Button 1451" hidden="1">
              <a:extLst>
                <a:ext uri="{63B3BB69-23CF-44E3-9099-C40C66FF867C}">
                  <a14:compatExt spid="_x0000_s5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381</xdr:row>
          <xdr:rowOff>0</xdr:rowOff>
        </xdr:from>
        <xdr:to>
          <xdr:col>6</xdr:col>
          <xdr:colOff>0</xdr:colOff>
          <xdr:row>382</xdr:row>
          <xdr:rowOff>0</xdr:rowOff>
        </xdr:to>
        <xdr:sp macro="" textlink="">
          <xdr:nvSpPr>
            <xdr:cNvPr id="5548" name="Button 1452" hidden="1">
              <a:extLst>
                <a:ext uri="{63B3BB69-23CF-44E3-9099-C40C66FF867C}">
                  <a14:compatExt spid="_x0000_s5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382</xdr:row>
          <xdr:rowOff>0</xdr:rowOff>
        </xdr:from>
        <xdr:to>
          <xdr:col>6</xdr:col>
          <xdr:colOff>0</xdr:colOff>
          <xdr:row>383</xdr:row>
          <xdr:rowOff>0</xdr:rowOff>
        </xdr:to>
        <xdr:sp macro="" textlink="">
          <xdr:nvSpPr>
            <xdr:cNvPr id="5549" name="Button 1453" hidden="1">
              <a:extLst>
                <a:ext uri="{63B3BB69-23CF-44E3-9099-C40C66FF867C}">
                  <a14:compatExt spid="_x0000_s5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383</xdr:row>
          <xdr:rowOff>0</xdr:rowOff>
        </xdr:from>
        <xdr:to>
          <xdr:col>6</xdr:col>
          <xdr:colOff>0</xdr:colOff>
          <xdr:row>384</xdr:row>
          <xdr:rowOff>0</xdr:rowOff>
        </xdr:to>
        <xdr:sp macro="" textlink="">
          <xdr:nvSpPr>
            <xdr:cNvPr id="5550" name="Button 1454" hidden="1">
              <a:extLst>
                <a:ext uri="{63B3BB69-23CF-44E3-9099-C40C66FF867C}">
                  <a14:compatExt spid="_x0000_s5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384</xdr:row>
          <xdr:rowOff>0</xdr:rowOff>
        </xdr:from>
        <xdr:to>
          <xdr:col>6</xdr:col>
          <xdr:colOff>0</xdr:colOff>
          <xdr:row>385</xdr:row>
          <xdr:rowOff>0</xdr:rowOff>
        </xdr:to>
        <xdr:sp macro="" textlink="">
          <xdr:nvSpPr>
            <xdr:cNvPr id="5551" name="Button 1455" hidden="1">
              <a:extLst>
                <a:ext uri="{63B3BB69-23CF-44E3-9099-C40C66FF867C}">
                  <a14:compatExt spid="_x0000_s5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385</xdr:row>
          <xdr:rowOff>0</xdr:rowOff>
        </xdr:from>
        <xdr:to>
          <xdr:col>6</xdr:col>
          <xdr:colOff>0</xdr:colOff>
          <xdr:row>386</xdr:row>
          <xdr:rowOff>0</xdr:rowOff>
        </xdr:to>
        <xdr:sp macro="" textlink="">
          <xdr:nvSpPr>
            <xdr:cNvPr id="5552" name="Button 1456" hidden="1">
              <a:extLst>
                <a:ext uri="{63B3BB69-23CF-44E3-9099-C40C66FF867C}">
                  <a14:compatExt spid="_x0000_s5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386</xdr:row>
          <xdr:rowOff>0</xdr:rowOff>
        </xdr:from>
        <xdr:to>
          <xdr:col>6</xdr:col>
          <xdr:colOff>0</xdr:colOff>
          <xdr:row>387</xdr:row>
          <xdr:rowOff>0</xdr:rowOff>
        </xdr:to>
        <xdr:sp macro="" textlink="">
          <xdr:nvSpPr>
            <xdr:cNvPr id="5553" name="Button 1457" hidden="1">
              <a:extLst>
                <a:ext uri="{63B3BB69-23CF-44E3-9099-C40C66FF867C}">
                  <a14:compatExt spid="_x0000_s5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387</xdr:row>
          <xdr:rowOff>0</xdr:rowOff>
        </xdr:from>
        <xdr:to>
          <xdr:col>6</xdr:col>
          <xdr:colOff>0</xdr:colOff>
          <xdr:row>388</xdr:row>
          <xdr:rowOff>0</xdr:rowOff>
        </xdr:to>
        <xdr:sp macro="" textlink="">
          <xdr:nvSpPr>
            <xdr:cNvPr id="5554" name="Button 1458" hidden="1">
              <a:extLst>
                <a:ext uri="{63B3BB69-23CF-44E3-9099-C40C66FF867C}">
                  <a14:compatExt spid="_x0000_s5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388</xdr:row>
          <xdr:rowOff>0</xdr:rowOff>
        </xdr:from>
        <xdr:to>
          <xdr:col>6</xdr:col>
          <xdr:colOff>0</xdr:colOff>
          <xdr:row>389</xdr:row>
          <xdr:rowOff>0</xdr:rowOff>
        </xdr:to>
        <xdr:sp macro="" textlink="">
          <xdr:nvSpPr>
            <xdr:cNvPr id="5555" name="Button 1459" hidden="1">
              <a:extLst>
                <a:ext uri="{63B3BB69-23CF-44E3-9099-C40C66FF867C}">
                  <a14:compatExt spid="_x0000_s5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389</xdr:row>
          <xdr:rowOff>0</xdr:rowOff>
        </xdr:from>
        <xdr:to>
          <xdr:col>6</xdr:col>
          <xdr:colOff>0</xdr:colOff>
          <xdr:row>390</xdr:row>
          <xdr:rowOff>0</xdr:rowOff>
        </xdr:to>
        <xdr:sp macro="" textlink="">
          <xdr:nvSpPr>
            <xdr:cNvPr id="5556" name="Button 1460" hidden="1">
              <a:extLst>
                <a:ext uri="{63B3BB69-23CF-44E3-9099-C40C66FF867C}">
                  <a14:compatExt spid="_x0000_s5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390</xdr:row>
          <xdr:rowOff>0</xdr:rowOff>
        </xdr:from>
        <xdr:to>
          <xdr:col>6</xdr:col>
          <xdr:colOff>0</xdr:colOff>
          <xdr:row>391</xdr:row>
          <xdr:rowOff>0</xdr:rowOff>
        </xdr:to>
        <xdr:sp macro="" textlink="">
          <xdr:nvSpPr>
            <xdr:cNvPr id="5557" name="Button 1461" hidden="1">
              <a:extLst>
                <a:ext uri="{63B3BB69-23CF-44E3-9099-C40C66FF867C}">
                  <a14:compatExt spid="_x0000_s5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391</xdr:row>
          <xdr:rowOff>0</xdr:rowOff>
        </xdr:from>
        <xdr:to>
          <xdr:col>6</xdr:col>
          <xdr:colOff>0</xdr:colOff>
          <xdr:row>392</xdr:row>
          <xdr:rowOff>0</xdr:rowOff>
        </xdr:to>
        <xdr:sp macro="" textlink="">
          <xdr:nvSpPr>
            <xdr:cNvPr id="5558" name="Button 1462" hidden="1">
              <a:extLst>
                <a:ext uri="{63B3BB69-23CF-44E3-9099-C40C66FF867C}">
                  <a14:compatExt spid="_x0000_s5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392</xdr:row>
          <xdr:rowOff>0</xdr:rowOff>
        </xdr:from>
        <xdr:to>
          <xdr:col>6</xdr:col>
          <xdr:colOff>0</xdr:colOff>
          <xdr:row>393</xdr:row>
          <xdr:rowOff>0</xdr:rowOff>
        </xdr:to>
        <xdr:sp macro="" textlink="">
          <xdr:nvSpPr>
            <xdr:cNvPr id="5559" name="Button 1463" hidden="1">
              <a:extLst>
                <a:ext uri="{63B3BB69-23CF-44E3-9099-C40C66FF867C}">
                  <a14:compatExt spid="_x0000_s5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393</xdr:row>
          <xdr:rowOff>0</xdr:rowOff>
        </xdr:from>
        <xdr:to>
          <xdr:col>6</xdr:col>
          <xdr:colOff>0</xdr:colOff>
          <xdr:row>394</xdr:row>
          <xdr:rowOff>0</xdr:rowOff>
        </xdr:to>
        <xdr:sp macro="" textlink="">
          <xdr:nvSpPr>
            <xdr:cNvPr id="5560" name="Button 1464" hidden="1">
              <a:extLst>
                <a:ext uri="{63B3BB69-23CF-44E3-9099-C40C66FF867C}">
                  <a14:compatExt spid="_x0000_s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394</xdr:row>
          <xdr:rowOff>0</xdr:rowOff>
        </xdr:from>
        <xdr:to>
          <xdr:col>6</xdr:col>
          <xdr:colOff>0</xdr:colOff>
          <xdr:row>395</xdr:row>
          <xdr:rowOff>0</xdr:rowOff>
        </xdr:to>
        <xdr:sp macro="" textlink="">
          <xdr:nvSpPr>
            <xdr:cNvPr id="5561" name="Button 1465" hidden="1">
              <a:extLst>
                <a:ext uri="{63B3BB69-23CF-44E3-9099-C40C66FF867C}">
                  <a14:compatExt spid="_x0000_s5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395</xdr:row>
          <xdr:rowOff>0</xdr:rowOff>
        </xdr:from>
        <xdr:to>
          <xdr:col>6</xdr:col>
          <xdr:colOff>0</xdr:colOff>
          <xdr:row>396</xdr:row>
          <xdr:rowOff>0</xdr:rowOff>
        </xdr:to>
        <xdr:sp macro="" textlink="">
          <xdr:nvSpPr>
            <xdr:cNvPr id="5562" name="Button 1466" hidden="1">
              <a:extLst>
                <a:ext uri="{63B3BB69-23CF-44E3-9099-C40C66FF867C}">
                  <a14:compatExt spid="_x0000_s5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396</xdr:row>
          <xdr:rowOff>0</xdr:rowOff>
        </xdr:from>
        <xdr:to>
          <xdr:col>6</xdr:col>
          <xdr:colOff>0</xdr:colOff>
          <xdr:row>397</xdr:row>
          <xdr:rowOff>0</xdr:rowOff>
        </xdr:to>
        <xdr:sp macro="" textlink="">
          <xdr:nvSpPr>
            <xdr:cNvPr id="5563" name="Button 1467" hidden="1">
              <a:extLst>
                <a:ext uri="{63B3BB69-23CF-44E3-9099-C40C66FF867C}">
                  <a14:compatExt spid="_x0000_s5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397</xdr:row>
          <xdr:rowOff>0</xdr:rowOff>
        </xdr:from>
        <xdr:to>
          <xdr:col>6</xdr:col>
          <xdr:colOff>0</xdr:colOff>
          <xdr:row>398</xdr:row>
          <xdr:rowOff>0</xdr:rowOff>
        </xdr:to>
        <xdr:sp macro="" textlink="">
          <xdr:nvSpPr>
            <xdr:cNvPr id="5564" name="Button 1468" hidden="1">
              <a:extLst>
                <a:ext uri="{63B3BB69-23CF-44E3-9099-C40C66FF867C}">
                  <a14:compatExt spid="_x0000_s5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398</xdr:row>
          <xdr:rowOff>0</xdr:rowOff>
        </xdr:from>
        <xdr:to>
          <xdr:col>6</xdr:col>
          <xdr:colOff>0</xdr:colOff>
          <xdr:row>399</xdr:row>
          <xdr:rowOff>0</xdr:rowOff>
        </xdr:to>
        <xdr:sp macro="" textlink="">
          <xdr:nvSpPr>
            <xdr:cNvPr id="5565" name="Button 1469" hidden="1">
              <a:extLst>
                <a:ext uri="{63B3BB69-23CF-44E3-9099-C40C66FF867C}">
                  <a14:compatExt spid="_x0000_s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399</xdr:row>
          <xdr:rowOff>0</xdr:rowOff>
        </xdr:from>
        <xdr:to>
          <xdr:col>6</xdr:col>
          <xdr:colOff>0</xdr:colOff>
          <xdr:row>400</xdr:row>
          <xdr:rowOff>0</xdr:rowOff>
        </xdr:to>
        <xdr:sp macro="" textlink="">
          <xdr:nvSpPr>
            <xdr:cNvPr id="5566" name="Button 1470" hidden="1">
              <a:extLst>
                <a:ext uri="{63B3BB69-23CF-44E3-9099-C40C66FF867C}">
                  <a14:compatExt spid="_x0000_s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400</xdr:row>
          <xdr:rowOff>0</xdr:rowOff>
        </xdr:from>
        <xdr:to>
          <xdr:col>6</xdr:col>
          <xdr:colOff>0</xdr:colOff>
          <xdr:row>401</xdr:row>
          <xdr:rowOff>0</xdr:rowOff>
        </xdr:to>
        <xdr:sp macro="" textlink="">
          <xdr:nvSpPr>
            <xdr:cNvPr id="5567" name="Button 1471" hidden="1">
              <a:extLst>
                <a:ext uri="{63B3BB69-23CF-44E3-9099-C40C66FF867C}">
                  <a14:compatExt spid="_x0000_s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401</xdr:row>
          <xdr:rowOff>0</xdr:rowOff>
        </xdr:from>
        <xdr:to>
          <xdr:col>6</xdr:col>
          <xdr:colOff>0</xdr:colOff>
          <xdr:row>402</xdr:row>
          <xdr:rowOff>0</xdr:rowOff>
        </xdr:to>
        <xdr:sp macro="" textlink="">
          <xdr:nvSpPr>
            <xdr:cNvPr id="5568" name="Button 1472" hidden="1">
              <a:extLst>
                <a:ext uri="{63B3BB69-23CF-44E3-9099-C40C66FF867C}">
                  <a14:compatExt spid="_x0000_s5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402</xdr:row>
          <xdr:rowOff>0</xdr:rowOff>
        </xdr:from>
        <xdr:to>
          <xdr:col>6</xdr:col>
          <xdr:colOff>0</xdr:colOff>
          <xdr:row>403</xdr:row>
          <xdr:rowOff>0</xdr:rowOff>
        </xdr:to>
        <xdr:sp macro="" textlink="">
          <xdr:nvSpPr>
            <xdr:cNvPr id="5569" name="Button 1473" hidden="1">
              <a:extLst>
                <a:ext uri="{63B3BB69-23CF-44E3-9099-C40C66FF867C}">
                  <a14:compatExt spid="_x0000_s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403</xdr:row>
          <xdr:rowOff>0</xdr:rowOff>
        </xdr:from>
        <xdr:to>
          <xdr:col>6</xdr:col>
          <xdr:colOff>0</xdr:colOff>
          <xdr:row>404</xdr:row>
          <xdr:rowOff>0</xdr:rowOff>
        </xdr:to>
        <xdr:sp macro="" textlink="">
          <xdr:nvSpPr>
            <xdr:cNvPr id="5570" name="Button 1474" hidden="1">
              <a:extLst>
                <a:ext uri="{63B3BB69-23CF-44E3-9099-C40C66FF867C}">
                  <a14:compatExt spid="_x0000_s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404</xdr:row>
          <xdr:rowOff>0</xdr:rowOff>
        </xdr:from>
        <xdr:to>
          <xdr:col>6</xdr:col>
          <xdr:colOff>0</xdr:colOff>
          <xdr:row>405</xdr:row>
          <xdr:rowOff>0</xdr:rowOff>
        </xdr:to>
        <xdr:sp macro="" textlink="">
          <xdr:nvSpPr>
            <xdr:cNvPr id="5571" name="Button 1475" hidden="1">
              <a:extLst>
                <a:ext uri="{63B3BB69-23CF-44E3-9099-C40C66FF867C}">
                  <a14:compatExt spid="_x0000_s5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405</xdr:row>
          <xdr:rowOff>0</xdr:rowOff>
        </xdr:from>
        <xdr:to>
          <xdr:col>6</xdr:col>
          <xdr:colOff>0</xdr:colOff>
          <xdr:row>406</xdr:row>
          <xdr:rowOff>0</xdr:rowOff>
        </xdr:to>
        <xdr:sp macro="" textlink="">
          <xdr:nvSpPr>
            <xdr:cNvPr id="5572" name="Button 1476" hidden="1">
              <a:extLst>
                <a:ext uri="{63B3BB69-23CF-44E3-9099-C40C66FF867C}">
                  <a14:compatExt spid="_x0000_s5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406</xdr:row>
          <xdr:rowOff>0</xdr:rowOff>
        </xdr:from>
        <xdr:to>
          <xdr:col>6</xdr:col>
          <xdr:colOff>0</xdr:colOff>
          <xdr:row>407</xdr:row>
          <xdr:rowOff>0</xdr:rowOff>
        </xdr:to>
        <xdr:sp macro="" textlink="">
          <xdr:nvSpPr>
            <xdr:cNvPr id="5573" name="Button 1477" hidden="1">
              <a:extLst>
                <a:ext uri="{63B3BB69-23CF-44E3-9099-C40C66FF867C}">
                  <a14:compatExt spid="_x0000_s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407</xdr:row>
          <xdr:rowOff>0</xdr:rowOff>
        </xdr:from>
        <xdr:to>
          <xdr:col>6</xdr:col>
          <xdr:colOff>0</xdr:colOff>
          <xdr:row>408</xdr:row>
          <xdr:rowOff>0</xdr:rowOff>
        </xdr:to>
        <xdr:sp macro="" textlink="">
          <xdr:nvSpPr>
            <xdr:cNvPr id="5574" name="Button 1478" hidden="1">
              <a:extLst>
                <a:ext uri="{63B3BB69-23CF-44E3-9099-C40C66FF867C}">
                  <a14:compatExt spid="_x0000_s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408</xdr:row>
          <xdr:rowOff>0</xdr:rowOff>
        </xdr:from>
        <xdr:to>
          <xdr:col>6</xdr:col>
          <xdr:colOff>0</xdr:colOff>
          <xdr:row>409</xdr:row>
          <xdr:rowOff>0</xdr:rowOff>
        </xdr:to>
        <xdr:sp macro="" textlink="">
          <xdr:nvSpPr>
            <xdr:cNvPr id="5575" name="Button 1479" hidden="1">
              <a:extLst>
                <a:ext uri="{63B3BB69-23CF-44E3-9099-C40C66FF867C}">
                  <a14:compatExt spid="_x0000_s5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409</xdr:row>
          <xdr:rowOff>0</xdr:rowOff>
        </xdr:from>
        <xdr:to>
          <xdr:col>6</xdr:col>
          <xdr:colOff>0</xdr:colOff>
          <xdr:row>410</xdr:row>
          <xdr:rowOff>0</xdr:rowOff>
        </xdr:to>
        <xdr:sp macro="" textlink="">
          <xdr:nvSpPr>
            <xdr:cNvPr id="5576" name="Button 1480" hidden="1">
              <a:extLst>
                <a:ext uri="{63B3BB69-23CF-44E3-9099-C40C66FF867C}">
                  <a14:compatExt spid="_x0000_s5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410</xdr:row>
          <xdr:rowOff>0</xdr:rowOff>
        </xdr:from>
        <xdr:to>
          <xdr:col>6</xdr:col>
          <xdr:colOff>0</xdr:colOff>
          <xdr:row>411</xdr:row>
          <xdr:rowOff>0</xdr:rowOff>
        </xdr:to>
        <xdr:sp macro="" textlink="">
          <xdr:nvSpPr>
            <xdr:cNvPr id="5577" name="Button 1481" hidden="1">
              <a:extLst>
                <a:ext uri="{63B3BB69-23CF-44E3-9099-C40C66FF867C}">
                  <a14:compatExt spid="_x0000_s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411</xdr:row>
          <xdr:rowOff>0</xdr:rowOff>
        </xdr:from>
        <xdr:to>
          <xdr:col>6</xdr:col>
          <xdr:colOff>0</xdr:colOff>
          <xdr:row>412</xdr:row>
          <xdr:rowOff>0</xdr:rowOff>
        </xdr:to>
        <xdr:sp macro="" textlink="">
          <xdr:nvSpPr>
            <xdr:cNvPr id="5578" name="Button 1482" hidden="1">
              <a:extLst>
                <a:ext uri="{63B3BB69-23CF-44E3-9099-C40C66FF867C}">
                  <a14:compatExt spid="_x0000_s5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412</xdr:row>
          <xdr:rowOff>0</xdr:rowOff>
        </xdr:from>
        <xdr:to>
          <xdr:col>6</xdr:col>
          <xdr:colOff>0</xdr:colOff>
          <xdr:row>413</xdr:row>
          <xdr:rowOff>0</xdr:rowOff>
        </xdr:to>
        <xdr:sp macro="" textlink="">
          <xdr:nvSpPr>
            <xdr:cNvPr id="5579" name="Button 1483" hidden="1">
              <a:extLst>
                <a:ext uri="{63B3BB69-23CF-44E3-9099-C40C66FF867C}">
                  <a14:compatExt spid="_x0000_s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413</xdr:row>
          <xdr:rowOff>0</xdr:rowOff>
        </xdr:from>
        <xdr:to>
          <xdr:col>6</xdr:col>
          <xdr:colOff>0</xdr:colOff>
          <xdr:row>414</xdr:row>
          <xdr:rowOff>0</xdr:rowOff>
        </xdr:to>
        <xdr:sp macro="" textlink="">
          <xdr:nvSpPr>
            <xdr:cNvPr id="5580" name="Button 1484" hidden="1">
              <a:extLst>
                <a:ext uri="{63B3BB69-23CF-44E3-9099-C40C66FF867C}">
                  <a14:compatExt spid="_x0000_s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414</xdr:row>
          <xdr:rowOff>0</xdr:rowOff>
        </xdr:from>
        <xdr:to>
          <xdr:col>6</xdr:col>
          <xdr:colOff>0</xdr:colOff>
          <xdr:row>415</xdr:row>
          <xdr:rowOff>0</xdr:rowOff>
        </xdr:to>
        <xdr:sp macro="" textlink="">
          <xdr:nvSpPr>
            <xdr:cNvPr id="5581" name="Button 1485" hidden="1">
              <a:extLst>
                <a:ext uri="{63B3BB69-23CF-44E3-9099-C40C66FF867C}">
                  <a14:compatExt spid="_x0000_s5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415</xdr:row>
          <xdr:rowOff>0</xdr:rowOff>
        </xdr:from>
        <xdr:to>
          <xdr:col>6</xdr:col>
          <xdr:colOff>0</xdr:colOff>
          <xdr:row>416</xdr:row>
          <xdr:rowOff>0</xdr:rowOff>
        </xdr:to>
        <xdr:sp macro="" textlink="">
          <xdr:nvSpPr>
            <xdr:cNvPr id="5582" name="Button 1486" hidden="1">
              <a:extLst>
                <a:ext uri="{63B3BB69-23CF-44E3-9099-C40C66FF867C}">
                  <a14:compatExt spid="_x0000_s5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416</xdr:row>
          <xdr:rowOff>0</xdr:rowOff>
        </xdr:from>
        <xdr:to>
          <xdr:col>6</xdr:col>
          <xdr:colOff>0</xdr:colOff>
          <xdr:row>417</xdr:row>
          <xdr:rowOff>0</xdr:rowOff>
        </xdr:to>
        <xdr:sp macro="" textlink="">
          <xdr:nvSpPr>
            <xdr:cNvPr id="5583" name="Button 1487" hidden="1">
              <a:extLst>
                <a:ext uri="{63B3BB69-23CF-44E3-9099-C40C66FF867C}">
                  <a14:compatExt spid="_x0000_s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417</xdr:row>
          <xdr:rowOff>0</xdr:rowOff>
        </xdr:from>
        <xdr:to>
          <xdr:col>6</xdr:col>
          <xdr:colOff>0</xdr:colOff>
          <xdr:row>418</xdr:row>
          <xdr:rowOff>0</xdr:rowOff>
        </xdr:to>
        <xdr:sp macro="" textlink="">
          <xdr:nvSpPr>
            <xdr:cNvPr id="5584" name="Button 1488" hidden="1">
              <a:extLst>
                <a:ext uri="{63B3BB69-23CF-44E3-9099-C40C66FF867C}">
                  <a14:compatExt spid="_x0000_s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418</xdr:row>
          <xdr:rowOff>0</xdr:rowOff>
        </xdr:from>
        <xdr:to>
          <xdr:col>6</xdr:col>
          <xdr:colOff>0</xdr:colOff>
          <xdr:row>419</xdr:row>
          <xdr:rowOff>0</xdr:rowOff>
        </xdr:to>
        <xdr:sp macro="" textlink="">
          <xdr:nvSpPr>
            <xdr:cNvPr id="5585" name="Button 1489" hidden="1">
              <a:extLst>
                <a:ext uri="{63B3BB69-23CF-44E3-9099-C40C66FF867C}">
                  <a14:compatExt spid="_x0000_s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419</xdr:row>
          <xdr:rowOff>0</xdr:rowOff>
        </xdr:from>
        <xdr:to>
          <xdr:col>6</xdr:col>
          <xdr:colOff>0</xdr:colOff>
          <xdr:row>420</xdr:row>
          <xdr:rowOff>0</xdr:rowOff>
        </xdr:to>
        <xdr:sp macro="" textlink="">
          <xdr:nvSpPr>
            <xdr:cNvPr id="5586" name="Button 1490" hidden="1">
              <a:extLst>
                <a:ext uri="{63B3BB69-23CF-44E3-9099-C40C66FF867C}">
                  <a14:compatExt spid="_x0000_s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420</xdr:row>
          <xdr:rowOff>0</xdr:rowOff>
        </xdr:from>
        <xdr:to>
          <xdr:col>6</xdr:col>
          <xdr:colOff>0</xdr:colOff>
          <xdr:row>421</xdr:row>
          <xdr:rowOff>0</xdr:rowOff>
        </xdr:to>
        <xdr:sp macro="" textlink="">
          <xdr:nvSpPr>
            <xdr:cNvPr id="5587" name="Button 1491" hidden="1">
              <a:extLst>
                <a:ext uri="{63B3BB69-23CF-44E3-9099-C40C66FF867C}">
                  <a14:compatExt spid="_x0000_s5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421</xdr:row>
          <xdr:rowOff>0</xdr:rowOff>
        </xdr:from>
        <xdr:to>
          <xdr:col>6</xdr:col>
          <xdr:colOff>0</xdr:colOff>
          <xdr:row>422</xdr:row>
          <xdr:rowOff>0</xdr:rowOff>
        </xdr:to>
        <xdr:sp macro="" textlink="">
          <xdr:nvSpPr>
            <xdr:cNvPr id="5588" name="Button 1492" hidden="1">
              <a:extLst>
                <a:ext uri="{63B3BB69-23CF-44E3-9099-C40C66FF867C}">
                  <a14:compatExt spid="_x0000_s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422</xdr:row>
          <xdr:rowOff>0</xdr:rowOff>
        </xdr:from>
        <xdr:to>
          <xdr:col>6</xdr:col>
          <xdr:colOff>0</xdr:colOff>
          <xdr:row>423</xdr:row>
          <xdr:rowOff>0</xdr:rowOff>
        </xdr:to>
        <xdr:sp macro="" textlink="">
          <xdr:nvSpPr>
            <xdr:cNvPr id="5589" name="Button 1493" hidden="1">
              <a:extLst>
                <a:ext uri="{63B3BB69-23CF-44E3-9099-C40C66FF867C}">
                  <a14:compatExt spid="_x0000_s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423</xdr:row>
          <xdr:rowOff>0</xdr:rowOff>
        </xdr:from>
        <xdr:to>
          <xdr:col>6</xdr:col>
          <xdr:colOff>0</xdr:colOff>
          <xdr:row>424</xdr:row>
          <xdr:rowOff>0</xdr:rowOff>
        </xdr:to>
        <xdr:sp macro="" textlink="">
          <xdr:nvSpPr>
            <xdr:cNvPr id="5590" name="Button 1494" hidden="1">
              <a:extLst>
                <a:ext uri="{63B3BB69-23CF-44E3-9099-C40C66FF867C}">
                  <a14:compatExt spid="_x0000_s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424</xdr:row>
          <xdr:rowOff>0</xdr:rowOff>
        </xdr:from>
        <xdr:to>
          <xdr:col>6</xdr:col>
          <xdr:colOff>0</xdr:colOff>
          <xdr:row>425</xdr:row>
          <xdr:rowOff>0</xdr:rowOff>
        </xdr:to>
        <xdr:sp macro="" textlink="">
          <xdr:nvSpPr>
            <xdr:cNvPr id="5591" name="Button 1495" hidden="1">
              <a:extLst>
                <a:ext uri="{63B3BB69-23CF-44E3-9099-C40C66FF867C}">
                  <a14:compatExt spid="_x0000_s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425</xdr:row>
          <xdr:rowOff>0</xdr:rowOff>
        </xdr:from>
        <xdr:to>
          <xdr:col>6</xdr:col>
          <xdr:colOff>0</xdr:colOff>
          <xdr:row>426</xdr:row>
          <xdr:rowOff>0</xdr:rowOff>
        </xdr:to>
        <xdr:sp macro="" textlink="">
          <xdr:nvSpPr>
            <xdr:cNvPr id="5592" name="Button 1496" hidden="1">
              <a:extLst>
                <a:ext uri="{63B3BB69-23CF-44E3-9099-C40C66FF867C}">
                  <a14:compatExt spid="_x0000_s5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426</xdr:row>
          <xdr:rowOff>0</xdr:rowOff>
        </xdr:from>
        <xdr:to>
          <xdr:col>6</xdr:col>
          <xdr:colOff>0</xdr:colOff>
          <xdr:row>427</xdr:row>
          <xdr:rowOff>0</xdr:rowOff>
        </xdr:to>
        <xdr:sp macro="" textlink="">
          <xdr:nvSpPr>
            <xdr:cNvPr id="5593" name="Button 1497" hidden="1">
              <a:extLst>
                <a:ext uri="{63B3BB69-23CF-44E3-9099-C40C66FF867C}">
                  <a14:compatExt spid="_x0000_s5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427</xdr:row>
          <xdr:rowOff>0</xdr:rowOff>
        </xdr:from>
        <xdr:to>
          <xdr:col>6</xdr:col>
          <xdr:colOff>0</xdr:colOff>
          <xdr:row>428</xdr:row>
          <xdr:rowOff>0</xdr:rowOff>
        </xdr:to>
        <xdr:sp macro="" textlink="">
          <xdr:nvSpPr>
            <xdr:cNvPr id="5594" name="Button 1498" hidden="1">
              <a:extLst>
                <a:ext uri="{63B3BB69-23CF-44E3-9099-C40C66FF867C}">
                  <a14:compatExt spid="_x0000_s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428</xdr:row>
          <xdr:rowOff>0</xdr:rowOff>
        </xdr:from>
        <xdr:to>
          <xdr:col>6</xdr:col>
          <xdr:colOff>0</xdr:colOff>
          <xdr:row>429</xdr:row>
          <xdr:rowOff>0</xdr:rowOff>
        </xdr:to>
        <xdr:sp macro="" textlink="">
          <xdr:nvSpPr>
            <xdr:cNvPr id="5595" name="Button 1499" hidden="1">
              <a:extLst>
                <a:ext uri="{63B3BB69-23CF-44E3-9099-C40C66FF867C}">
                  <a14:compatExt spid="_x0000_s5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429</xdr:row>
          <xdr:rowOff>0</xdr:rowOff>
        </xdr:from>
        <xdr:to>
          <xdr:col>6</xdr:col>
          <xdr:colOff>0</xdr:colOff>
          <xdr:row>430</xdr:row>
          <xdr:rowOff>0</xdr:rowOff>
        </xdr:to>
        <xdr:sp macro="" textlink="">
          <xdr:nvSpPr>
            <xdr:cNvPr id="5596" name="Button 1500" hidden="1">
              <a:extLst>
                <a:ext uri="{63B3BB69-23CF-44E3-9099-C40C66FF867C}">
                  <a14:compatExt spid="_x0000_s5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430</xdr:row>
          <xdr:rowOff>0</xdr:rowOff>
        </xdr:from>
        <xdr:to>
          <xdr:col>6</xdr:col>
          <xdr:colOff>0</xdr:colOff>
          <xdr:row>431</xdr:row>
          <xdr:rowOff>0</xdr:rowOff>
        </xdr:to>
        <xdr:sp macro="" textlink="">
          <xdr:nvSpPr>
            <xdr:cNvPr id="5597" name="Button 1501" hidden="1">
              <a:extLst>
                <a:ext uri="{63B3BB69-23CF-44E3-9099-C40C66FF867C}">
                  <a14:compatExt spid="_x0000_s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431</xdr:row>
          <xdr:rowOff>0</xdr:rowOff>
        </xdr:from>
        <xdr:to>
          <xdr:col>6</xdr:col>
          <xdr:colOff>0</xdr:colOff>
          <xdr:row>432</xdr:row>
          <xdr:rowOff>0</xdr:rowOff>
        </xdr:to>
        <xdr:sp macro="" textlink="">
          <xdr:nvSpPr>
            <xdr:cNvPr id="5598" name="Button 1502" hidden="1">
              <a:extLst>
                <a:ext uri="{63B3BB69-23CF-44E3-9099-C40C66FF867C}">
                  <a14:compatExt spid="_x0000_s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432</xdr:row>
          <xdr:rowOff>0</xdr:rowOff>
        </xdr:from>
        <xdr:to>
          <xdr:col>6</xdr:col>
          <xdr:colOff>0</xdr:colOff>
          <xdr:row>433</xdr:row>
          <xdr:rowOff>0</xdr:rowOff>
        </xdr:to>
        <xdr:sp macro="" textlink="">
          <xdr:nvSpPr>
            <xdr:cNvPr id="5599" name="Button 1503" hidden="1">
              <a:extLst>
                <a:ext uri="{63B3BB69-23CF-44E3-9099-C40C66FF867C}">
                  <a14:compatExt spid="_x0000_s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433</xdr:row>
          <xdr:rowOff>0</xdr:rowOff>
        </xdr:from>
        <xdr:to>
          <xdr:col>6</xdr:col>
          <xdr:colOff>0</xdr:colOff>
          <xdr:row>434</xdr:row>
          <xdr:rowOff>0</xdr:rowOff>
        </xdr:to>
        <xdr:sp macro="" textlink="">
          <xdr:nvSpPr>
            <xdr:cNvPr id="5600" name="Button 1504" hidden="1">
              <a:extLst>
                <a:ext uri="{63B3BB69-23CF-44E3-9099-C40C66FF867C}">
                  <a14:compatExt spid="_x0000_s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434</xdr:row>
          <xdr:rowOff>0</xdr:rowOff>
        </xdr:from>
        <xdr:to>
          <xdr:col>6</xdr:col>
          <xdr:colOff>0</xdr:colOff>
          <xdr:row>435</xdr:row>
          <xdr:rowOff>0</xdr:rowOff>
        </xdr:to>
        <xdr:sp macro="" textlink="">
          <xdr:nvSpPr>
            <xdr:cNvPr id="5601" name="Button 1505" hidden="1">
              <a:extLst>
                <a:ext uri="{63B3BB69-23CF-44E3-9099-C40C66FF867C}">
                  <a14:compatExt spid="_x0000_s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435</xdr:row>
          <xdr:rowOff>0</xdr:rowOff>
        </xdr:from>
        <xdr:to>
          <xdr:col>6</xdr:col>
          <xdr:colOff>0</xdr:colOff>
          <xdr:row>436</xdr:row>
          <xdr:rowOff>0</xdr:rowOff>
        </xdr:to>
        <xdr:sp macro="" textlink="">
          <xdr:nvSpPr>
            <xdr:cNvPr id="5602" name="Button 1506" hidden="1">
              <a:extLst>
                <a:ext uri="{63B3BB69-23CF-44E3-9099-C40C66FF867C}">
                  <a14:compatExt spid="_x0000_s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436</xdr:row>
          <xdr:rowOff>0</xdr:rowOff>
        </xdr:from>
        <xdr:to>
          <xdr:col>6</xdr:col>
          <xdr:colOff>0</xdr:colOff>
          <xdr:row>437</xdr:row>
          <xdr:rowOff>0</xdr:rowOff>
        </xdr:to>
        <xdr:sp macro="" textlink="">
          <xdr:nvSpPr>
            <xdr:cNvPr id="5603" name="Button 1507" hidden="1">
              <a:extLst>
                <a:ext uri="{63B3BB69-23CF-44E3-9099-C40C66FF867C}">
                  <a14:compatExt spid="_x0000_s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437</xdr:row>
          <xdr:rowOff>0</xdr:rowOff>
        </xdr:from>
        <xdr:to>
          <xdr:col>6</xdr:col>
          <xdr:colOff>0</xdr:colOff>
          <xdr:row>438</xdr:row>
          <xdr:rowOff>0</xdr:rowOff>
        </xdr:to>
        <xdr:sp macro="" textlink="">
          <xdr:nvSpPr>
            <xdr:cNvPr id="5604" name="Button 1508" hidden="1">
              <a:extLst>
                <a:ext uri="{63B3BB69-23CF-44E3-9099-C40C66FF867C}">
                  <a14:compatExt spid="_x0000_s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438</xdr:row>
          <xdr:rowOff>0</xdr:rowOff>
        </xdr:from>
        <xdr:to>
          <xdr:col>6</xdr:col>
          <xdr:colOff>0</xdr:colOff>
          <xdr:row>439</xdr:row>
          <xdr:rowOff>0</xdr:rowOff>
        </xdr:to>
        <xdr:sp macro="" textlink="">
          <xdr:nvSpPr>
            <xdr:cNvPr id="5605" name="Button 1509" hidden="1">
              <a:extLst>
                <a:ext uri="{63B3BB69-23CF-44E3-9099-C40C66FF867C}">
                  <a14:compatExt spid="_x0000_s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439</xdr:row>
          <xdr:rowOff>0</xdr:rowOff>
        </xdr:from>
        <xdr:to>
          <xdr:col>6</xdr:col>
          <xdr:colOff>0</xdr:colOff>
          <xdr:row>440</xdr:row>
          <xdr:rowOff>0</xdr:rowOff>
        </xdr:to>
        <xdr:sp macro="" textlink="">
          <xdr:nvSpPr>
            <xdr:cNvPr id="5606" name="Button 1510" hidden="1">
              <a:extLst>
                <a:ext uri="{63B3BB69-23CF-44E3-9099-C40C66FF867C}">
                  <a14:compatExt spid="_x0000_s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440</xdr:row>
          <xdr:rowOff>0</xdr:rowOff>
        </xdr:from>
        <xdr:to>
          <xdr:col>6</xdr:col>
          <xdr:colOff>0</xdr:colOff>
          <xdr:row>441</xdr:row>
          <xdr:rowOff>0</xdr:rowOff>
        </xdr:to>
        <xdr:sp macro="" textlink="">
          <xdr:nvSpPr>
            <xdr:cNvPr id="5607" name="Button 1511" hidden="1">
              <a:extLst>
                <a:ext uri="{63B3BB69-23CF-44E3-9099-C40C66FF867C}">
                  <a14:compatExt spid="_x0000_s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441</xdr:row>
          <xdr:rowOff>0</xdr:rowOff>
        </xdr:from>
        <xdr:to>
          <xdr:col>6</xdr:col>
          <xdr:colOff>0</xdr:colOff>
          <xdr:row>442</xdr:row>
          <xdr:rowOff>0</xdr:rowOff>
        </xdr:to>
        <xdr:sp macro="" textlink="">
          <xdr:nvSpPr>
            <xdr:cNvPr id="5608" name="Button 1512" hidden="1">
              <a:extLst>
                <a:ext uri="{63B3BB69-23CF-44E3-9099-C40C66FF867C}">
                  <a14:compatExt spid="_x0000_s5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442</xdr:row>
          <xdr:rowOff>0</xdr:rowOff>
        </xdr:from>
        <xdr:to>
          <xdr:col>6</xdr:col>
          <xdr:colOff>0</xdr:colOff>
          <xdr:row>443</xdr:row>
          <xdr:rowOff>0</xdr:rowOff>
        </xdr:to>
        <xdr:sp macro="" textlink="">
          <xdr:nvSpPr>
            <xdr:cNvPr id="5609" name="Button 1513" hidden="1">
              <a:extLst>
                <a:ext uri="{63B3BB69-23CF-44E3-9099-C40C66FF867C}">
                  <a14:compatExt spid="_x0000_s5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443</xdr:row>
          <xdr:rowOff>0</xdr:rowOff>
        </xdr:from>
        <xdr:to>
          <xdr:col>6</xdr:col>
          <xdr:colOff>0</xdr:colOff>
          <xdr:row>444</xdr:row>
          <xdr:rowOff>0</xdr:rowOff>
        </xdr:to>
        <xdr:sp macro="" textlink="">
          <xdr:nvSpPr>
            <xdr:cNvPr id="5610" name="Button 1514" hidden="1">
              <a:extLst>
                <a:ext uri="{63B3BB69-23CF-44E3-9099-C40C66FF867C}">
                  <a14:compatExt spid="_x0000_s5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444</xdr:row>
          <xdr:rowOff>0</xdr:rowOff>
        </xdr:from>
        <xdr:to>
          <xdr:col>6</xdr:col>
          <xdr:colOff>0</xdr:colOff>
          <xdr:row>445</xdr:row>
          <xdr:rowOff>0</xdr:rowOff>
        </xdr:to>
        <xdr:sp macro="" textlink="">
          <xdr:nvSpPr>
            <xdr:cNvPr id="5611" name="Button 1515" hidden="1">
              <a:extLst>
                <a:ext uri="{63B3BB69-23CF-44E3-9099-C40C66FF867C}">
                  <a14:compatExt spid="_x0000_s5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445</xdr:row>
          <xdr:rowOff>0</xdr:rowOff>
        </xdr:from>
        <xdr:to>
          <xdr:col>6</xdr:col>
          <xdr:colOff>0</xdr:colOff>
          <xdr:row>446</xdr:row>
          <xdr:rowOff>0</xdr:rowOff>
        </xdr:to>
        <xdr:sp macro="" textlink="">
          <xdr:nvSpPr>
            <xdr:cNvPr id="5612" name="Button 1516" hidden="1">
              <a:extLst>
                <a:ext uri="{63B3BB69-23CF-44E3-9099-C40C66FF867C}">
                  <a14:compatExt spid="_x0000_s5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446</xdr:row>
          <xdr:rowOff>0</xdr:rowOff>
        </xdr:from>
        <xdr:to>
          <xdr:col>6</xdr:col>
          <xdr:colOff>0</xdr:colOff>
          <xdr:row>447</xdr:row>
          <xdr:rowOff>0</xdr:rowOff>
        </xdr:to>
        <xdr:sp macro="" textlink="">
          <xdr:nvSpPr>
            <xdr:cNvPr id="5613" name="Button 1517" hidden="1">
              <a:extLst>
                <a:ext uri="{63B3BB69-23CF-44E3-9099-C40C66FF867C}">
                  <a14:compatExt spid="_x0000_s5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447</xdr:row>
          <xdr:rowOff>0</xdr:rowOff>
        </xdr:from>
        <xdr:to>
          <xdr:col>6</xdr:col>
          <xdr:colOff>0</xdr:colOff>
          <xdr:row>448</xdr:row>
          <xdr:rowOff>0</xdr:rowOff>
        </xdr:to>
        <xdr:sp macro="" textlink="">
          <xdr:nvSpPr>
            <xdr:cNvPr id="5614" name="Button 1518" hidden="1">
              <a:extLst>
                <a:ext uri="{63B3BB69-23CF-44E3-9099-C40C66FF867C}">
                  <a14:compatExt spid="_x0000_s5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448</xdr:row>
          <xdr:rowOff>0</xdr:rowOff>
        </xdr:from>
        <xdr:to>
          <xdr:col>6</xdr:col>
          <xdr:colOff>0</xdr:colOff>
          <xdr:row>449</xdr:row>
          <xdr:rowOff>0</xdr:rowOff>
        </xdr:to>
        <xdr:sp macro="" textlink="">
          <xdr:nvSpPr>
            <xdr:cNvPr id="5615" name="Button 1519" hidden="1">
              <a:extLst>
                <a:ext uri="{63B3BB69-23CF-44E3-9099-C40C66FF867C}">
                  <a14:compatExt spid="_x0000_s5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449</xdr:row>
          <xdr:rowOff>0</xdr:rowOff>
        </xdr:from>
        <xdr:to>
          <xdr:col>6</xdr:col>
          <xdr:colOff>0</xdr:colOff>
          <xdr:row>450</xdr:row>
          <xdr:rowOff>0</xdr:rowOff>
        </xdr:to>
        <xdr:sp macro="" textlink="">
          <xdr:nvSpPr>
            <xdr:cNvPr id="5616" name="Button 1520" hidden="1">
              <a:extLst>
                <a:ext uri="{63B3BB69-23CF-44E3-9099-C40C66FF867C}">
                  <a14:compatExt spid="_x0000_s5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450</xdr:row>
          <xdr:rowOff>0</xdr:rowOff>
        </xdr:from>
        <xdr:to>
          <xdr:col>6</xdr:col>
          <xdr:colOff>0</xdr:colOff>
          <xdr:row>451</xdr:row>
          <xdr:rowOff>0</xdr:rowOff>
        </xdr:to>
        <xdr:sp macro="" textlink="">
          <xdr:nvSpPr>
            <xdr:cNvPr id="5617" name="Button 1521" hidden="1">
              <a:extLst>
                <a:ext uri="{63B3BB69-23CF-44E3-9099-C40C66FF867C}">
                  <a14:compatExt spid="_x0000_s5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451</xdr:row>
          <xdr:rowOff>0</xdr:rowOff>
        </xdr:from>
        <xdr:to>
          <xdr:col>6</xdr:col>
          <xdr:colOff>0</xdr:colOff>
          <xdr:row>452</xdr:row>
          <xdr:rowOff>0</xdr:rowOff>
        </xdr:to>
        <xdr:sp macro="" textlink="">
          <xdr:nvSpPr>
            <xdr:cNvPr id="5618" name="Button 1522" hidden="1">
              <a:extLst>
                <a:ext uri="{63B3BB69-23CF-44E3-9099-C40C66FF867C}">
                  <a14:compatExt spid="_x0000_s5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452</xdr:row>
          <xdr:rowOff>0</xdr:rowOff>
        </xdr:from>
        <xdr:to>
          <xdr:col>6</xdr:col>
          <xdr:colOff>0</xdr:colOff>
          <xdr:row>453</xdr:row>
          <xdr:rowOff>0</xdr:rowOff>
        </xdr:to>
        <xdr:sp macro="" textlink="">
          <xdr:nvSpPr>
            <xdr:cNvPr id="5619" name="Button 1523" hidden="1">
              <a:extLst>
                <a:ext uri="{63B3BB69-23CF-44E3-9099-C40C66FF867C}">
                  <a14:compatExt spid="_x0000_s5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453</xdr:row>
          <xdr:rowOff>0</xdr:rowOff>
        </xdr:from>
        <xdr:to>
          <xdr:col>6</xdr:col>
          <xdr:colOff>0</xdr:colOff>
          <xdr:row>454</xdr:row>
          <xdr:rowOff>0</xdr:rowOff>
        </xdr:to>
        <xdr:sp macro="" textlink="">
          <xdr:nvSpPr>
            <xdr:cNvPr id="5620" name="Button 1524" hidden="1">
              <a:extLst>
                <a:ext uri="{63B3BB69-23CF-44E3-9099-C40C66FF867C}">
                  <a14:compatExt spid="_x0000_s5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454</xdr:row>
          <xdr:rowOff>0</xdr:rowOff>
        </xdr:from>
        <xdr:to>
          <xdr:col>6</xdr:col>
          <xdr:colOff>0</xdr:colOff>
          <xdr:row>455</xdr:row>
          <xdr:rowOff>0</xdr:rowOff>
        </xdr:to>
        <xdr:sp macro="" textlink="">
          <xdr:nvSpPr>
            <xdr:cNvPr id="5621" name="Button 1525" hidden="1">
              <a:extLst>
                <a:ext uri="{63B3BB69-23CF-44E3-9099-C40C66FF867C}">
                  <a14:compatExt spid="_x0000_s5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455</xdr:row>
          <xdr:rowOff>0</xdr:rowOff>
        </xdr:from>
        <xdr:to>
          <xdr:col>6</xdr:col>
          <xdr:colOff>0</xdr:colOff>
          <xdr:row>456</xdr:row>
          <xdr:rowOff>0</xdr:rowOff>
        </xdr:to>
        <xdr:sp macro="" textlink="">
          <xdr:nvSpPr>
            <xdr:cNvPr id="5622" name="Button 1526" hidden="1">
              <a:extLst>
                <a:ext uri="{63B3BB69-23CF-44E3-9099-C40C66FF867C}">
                  <a14:compatExt spid="_x0000_s5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456</xdr:row>
          <xdr:rowOff>0</xdr:rowOff>
        </xdr:from>
        <xdr:to>
          <xdr:col>6</xdr:col>
          <xdr:colOff>0</xdr:colOff>
          <xdr:row>457</xdr:row>
          <xdr:rowOff>0</xdr:rowOff>
        </xdr:to>
        <xdr:sp macro="" textlink="">
          <xdr:nvSpPr>
            <xdr:cNvPr id="5623" name="Button 1527" hidden="1">
              <a:extLst>
                <a:ext uri="{63B3BB69-23CF-44E3-9099-C40C66FF867C}">
                  <a14:compatExt spid="_x0000_s5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457</xdr:row>
          <xdr:rowOff>0</xdr:rowOff>
        </xdr:from>
        <xdr:to>
          <xdr:col>6</xdr:col>
          <xdr:colOff>0</xdr:colOff>
          <xdr:row>458</xdr:row>
          <xdr:rowOff>0</xdr:rowOff>
        </xdr:to>
        <xdr:sp macro="" textlink="">
          <xdr:nvSpPr>
            <xdr:cNvPr id="5624" name="Button 1528" hidden="1">
              <a:extLst>
                <a:ext uri="{63B3BB69-23CF-44E3-9099-C40C66FF867C}">
                  <a14:compatExt spid="_x0000_s5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458</xdr:row>
          <xdr:rowOff>0</xdr:rowOff>
        </xdr:from>
        <xdr:to>
          <xdr:col>6</xdr:col>
          <xdr:colOff>0</xdr:colOff>
          <xdr:row>459</xdr:row>
          <xdr:rowOff>0</xdr:rowOff>
        </xdr:to>
        <xdr:sp macro="" textlink="">
          <xdr:nvSpPr>
            <xdr:cNvPr id="5625" name="Button 1529" hidden="1">
              <a:extLst>
                <a:ext uri="{63B3BB69-23CF-44E3-9099-C40C66FF867C}">
                  <a14:compatExt spid="_x0000_s5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459</xdr:row>
          <xdr:rowOff>0</xdr:rowOff>
        </xdr:from>
        <xdr:to>
          <xdr:col>6</xdr:col>
          <xdr:colOff>0</xdr:colOff>
          <xdr:row>460</xdr:row>
          <xdr:rowOff>0</xdr:rowOff>
        </xdr:to>
        <xdr:sp macro="" textlink="">
          <xdr:nvSpPr>
            <xdr:cNvPr id="5626" name="Button 1530" hidden="1">
              <a:extLst>
                <a:ext uri="{63B3BB69-23CF-44E3-9099-C40C66FF867C}">
                  <a14:compatExt spid="_x0000_s5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460</xdr:row>
          <xdr:rowOff>0</xdr:rowOff>
        </xdr:from>
        <xdr:to>
          <xdr:col>6</xdr:col>
          <xdr:colOff>0</xdr:colOff>
          <xdr:row>461</xdr:row>
          <xdr:rowOff>0</xdr:rowOff>
        </xdr:to>
        <xdr:sp macro="" textlink="">
          <xdr:nvSpPr>
            <xdr:cNvPr id="5627" name="Button 1531" hidden="1">
              <a:extLst>
                <a:ext uri="{63B3BB69-23CF-44E3-9099-C40C66FF867C}">
                  <a14:compatExt spid="_x0000_s5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461</xdr:row>
          <xdr:rowOff>0</xdr:rowOff>
        </xdr:from>
        <xdr:to>
          <xdr:col>6</xdr:col>
          <xdr:colOff>0</xdr:colOff>
          <xdr:row>462</xdr:row>
          <xdr:rowOff>0</xdr:rowOff>
        </xdr:to>
        <xdr:sp macro="" textlink="">
          <xdr:nvSpPr>
            <xdr:cNvPr id="5628" name="Button 1532" hidden="1">
              <a:extLst>
                <a:ext uri="{63B3BB69-23CF-44E3-9099-C40C66FF867C}">
                  <a14:compatExt spid="_x0000_s5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462</xdr:row>
          <xdr:rowOff>0</xdr:rowOff>
        </xdr:from>
        <xdr:to>
          <xdr:col>6</xdr:col>
          <xdr:colOff>0</xdr:colOff>
          <xdr:row>463</xdr:row>
          <xdr:rowOff>0</xdr:rowOff>
        </xdr:to>
        <xdr:sp macro="" textlink="">
          <xdr:nvSpPr>
            <xdr:cNvPr id="5629" name="Button 1533" hidden="1">
              <a:extLst>
                <a:ext uri="{63B3BB69-23CF-44E3-9099-C40C66FF867C}">
                  <a14:compatExt spid="_x0000_s5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463</xdr:row>
          <xdr:rowOff>0</xdr:rowOff>
        </xdr:from>
        <xdr:to>
          <xdr:col>6</xdr:col>
          <xdr:colOff>0</xdr:colOff>
          <xdr:row>464</xdr:row>
          <xdr:rowOff>0</xdr:rowOff>
        </xdr:to>
        <xdr:sp macro="" textlink="">
          <xdr:nvSpPr>
            <xdr:cNvPr id="5630" name="Button 1534" hidden="1">
              <a:extLst>
                <a:ext uri="{63B3BB69-23CF-44E3-9099-C40C66FF867C}">
                  <a14:compatExt spid="_x0000_s5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464</xdr:row>
          <xdr:rowOff>0</xdr:rowOff>
        </xdr:from>
        <xdr:to>
          <xdr:col>6</xdr:col>
          <xdr:colOff>0</xdr:colOff>
          <xdr:row>465</xdr:row>
          <xdr:rowOff>0</xdr:rowOff>
        </xdr:to>
        <xdr:sp macro="" textlink="">
          <xdr:nvSpPr>
            <xdr:cNvPr id="5631" name="Button 1535" hidden="1">
              <a:extLst>
                <a:ext uri="{63B3BB69-23CF-44E3-9099-C40C66FF867C}">
                  <a14:compatExt spid="_x0000_s5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465</xdr:row>
          <xdr:rowOff>0</xdr:rowOff>
        </xdr:from>
        <xdr:to>
          <xdr:col>6</xdr:col>
          <xdr:colOff>0</xdr:colOff>
          <xdr:row>466</xdr:row>
          <xdr:rowOff>0</xdr:rowOff>
        </xdr:to>
        <xdr:sp macro="" textlink="">
          <xdr:nvSpPr>
            <xdr:cNvPr id="5632" name="Button 1536" hidden="1">
              <a:extLst>
                <a:ext uri="{63B3BB69-23CF-44E3-9099-C40C66FF867C}">
                  <a14:compatExt spid="_x0000_s5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466</xdr:row>
          <xdr:rowOff>0</xdr:rowOff>
        </xdr:from>
        <xdr:to>
          <xdr:col>6</xdr:col>
          <xdr:colOff>0</xdr:colOff>
          <xdr:row>467</xdr:row>
          <xdr:rowOff>0</xdr:rowOff>
        </xdr:to>
        <xdr:sp macro="" textlink="">
          <xdr:nvSpPr>
            <xdr:cNvPr id="5633" name="Button 1537" hidden="1">
              <a:extLst>
                <a:ext uri="{63B3BB69-23CF-44E3-9099-C40C66FF867C}">
                  <a14:compatExt spid="_x0000_s5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467</xdr:row>
          <xdr:rowOff>0</xdr:rowOff>
        </xdr:from>
        <xdr:to>
          <xdr:col>6</xdr:col>
          <xdr:colOff>0</xdr:colOff>
          <xdr:row>468</xdr:row>
          <xdr:rowOff>0</xdr:rowOff>
        </xdr:to>
        <xdr:sp macro="" textlink="">
          <xdr:nvSpPr>
            <xdr:cNvPr id="5634" name="Button 1538" hidden="1">
              <a:extLst>
                <a:ext uri="{63B3BB69-23CF-44E3-9099-C40C66FF867C}">
                  <a14:compatExt spid="_x0000_s5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468</xdr:row>
          <xdr:rowOff>0</xdr:rowOff>
        </xdr:from>
        <xdr:to>
          <xdr:col>6</xdr:col>
          <xdr:colOff>0</xdr:colOff>
          <xdr:row>469</xdr:row>
          <xdr:rowOff>0</xdr:rowOff>
        </xdr:to>
        <xdr:sp macro="" textlink="">
          <xdr:nvSpPr>
            <xdr:cNvPr id="5635" name="Button 1539" hidden="1">
              <a:extLst>
                <a:ext uri="{63B3BB69-23CF-44E3-9099-C40C66FF867C}">
                  <a14:compatExt spid="_x0000_s5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469</xdr:row>
          <xdr:rowOff>0</xdr:rowOff>
        </xdr:from>
        <xdr:to>
          <xdr:col>6</xdr:col>
          <xdr:colOff>0</xdr:colOff>
          <xdr:row>470</xdr:row>
          <xdr:rowOff>0</xdr:rowOff>
        </xdr:to>
        <xdr:sp macro="" textlink="">
          <xdr:nvSpPr>
            <xdr:cNvPr id="5636" name="Button 1540" hidden="1">
              <a:extLst>
                <a:ext uri="{63B3BB69-23CF-44E3-9099-C40C66FF867C}">
                  <a14:compatExt spid="_x0000_s5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470</xdr:row>
          <xdr:rowOff>0</xdr:rowOff>
        </xdr:from>
        <xdr:to>
          <xdr:col>6</xdr:col>
          <xdr:colOff>0</xdr:colOff>
          <xdr:row>471</xdr:row>
          <xdr:rowOff>0</xdr:rowOff>
        </xdr:to>
        <xdr:sp macro="" textlink="">
          <xdr:nvSpPr>
            <xdr:cNvPr id="5637" name="Button 1541" hidden="1">
              <a:extLst>
                <a:ext uri="{63B3BB69-23CF-44E3-9099-C40C66FF867C}">
                  <a14:compatExt spid="_x0000_s5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471</xdr:row>
          <xdr:rowOff>0</xdr:rowOff>
        </xdr:from>
        <xdr:to>
          <xdr:col>6</xdr:col>
          <xdr:colOff>0</xdr:colOff>
          <xdr:row>472</xdr:row>
          <xdr:rowOff>0</xdr:rowOff>
        </xdr:to>
        <xdr:sp macro="" textlink="">
          <xdr:nvSpPr>
            <xdr:cNvPr id="5638" name="Button 1542" hidden="1">
              <a:extLst>
                <a:ext uri="{63B3BB69-23CF-44E3-9099-C40C66FF867C}">
                  <a14:compatExt spid="_x0000_s5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472</xdr:row>
          <xdr:rowOff>0</xdr:rowOff>
        </xdr:from>
        <xdr:to>
          <xdr:col>6</xdr:col>
          <xdr:colOff>0</xdr:colOff>
          <xdr:row>473</xdr:row>
          <xdr:rowOff>0</xdr:rowOff>
        </xdr:to>
        <xdr:sp macro="" textlink="">
          <xdr:nvSpPr>
            <xdr:cNvPr id="5639" name="Button 1543" hidden="1">
              <a:extLst>
                <a:ext uri="{63B3BB69-23CF-44E3-9099-C40C66FF867C}">
                  <a14:compatExt spid="_x0000_s5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473</xdr:row>
          <xdr:rowOff>0</xdr:rowOff>
        </xdr:from>
        <xdr:to>
          <xdr:col>6</xdr:col>
          <xdr:colOff>0</xdr:colOff>
          <xdr:row>474</xdr:row>
          <xdr:rowOff>0</xdr:rowOff>
        </xdr:to>
        <xdr:sp macro="" textlink="">
          <xdr:nvSpPr>
            <xdr:cNvPr id="5640" name="Button 1544" hidden="1">
              <a:extLst>
                <a:ext uri="{63B3BB69-23CF-44E3-9099-C40C66FF867C}">
                  <a14:compatExt spid="_x0000_s5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474</xdr:row>
          <xdr:rowOff>0</xdr:rowOff>
        </xdr:from>
        <xdr:to>
          <xdr:col>6</xdr:col>
          <xdr:colOff>0</xdr:colOff>
          <xdr:row>475</xdr:row>
          <xdr:rowOff>0</xdr:rowOff>
        </xdr:to>
        <xdr:sp macro="" textlink="">
          <xdr:nvSpPr>
            <xdr:cNvPr id="5641" name="Button 1545" hidden="1">
              <a:extLst>
                <a:ext uri="{63B3BB69-23CF-44E3-9099-C40C66FF867C}">
                  <a14:compatExt spid="_x0000_s5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475</xdr:row>
          <xdr:rowOff>0</xdr:rowOff>
        </xdr:from>
        <xdr:to>
          <xdr:col>6</xdr:col>
          <xdr:colOff>0</xdr:colOff>
          <xdr:row>476</xdr:row>
          <xdr:rowOff>0</xdr:rowOff>
        </xdr:to>
        <xdr:sp macro="" textlink="">
          <xdr:nvSpPr>
            <xdr:cNvPr id="5642" name="Button 1546" hidden="1">
              <a:extLst>
                <a:ext uri="{63B3BB69-23CF-44E3-9099-C40C66FF867C}">
                  <a14:compatExt spid="_x0000_s5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476</xdr:row>
          <xdr:rowOff>0</xdr:rowOff>
        </xdr:from>
        <xdr:to>
          <xdr:col>6</xdr:col>
          <xdr:colOff>0</xdr:colOff>
          <xdr:row>477</xdr:row>
          <xdr:rowOff>0</xdr:rowOff>
        </xdr:to>
        <xdr:sp macro="" textlink="">
          <xdr:nvSpPr>
            <xdr:cNvPr id="5643" name="Button 1547" hidden="1">
              <a:extLst>
                <a:ext uri="{63B3BB69-23CF-44E3-9099-C40C66FF867C}">
                  <a14:compatExt spid="_x0000_s5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477</xdr:row>
          <xdr:rowOff>0</xdr:rowOff>
        </xdr:from>
        <xdr:to>
          <xdr:col>6</xdr:col>
          <xdr:colOff>0</xdr:colOff>
          <xdr:row>478</xdr:row>
          <xdr:rowOff>0</xdr:rowOff>
        </xdr:to>
        <xdr:sp macro="" textlink="">
          <xdr:nvSpPr>
            <xdr:cNvPr id="5644" name="Button 1548" hidden="1">
              <a:extLst>
                <a:ext uri="{63B3BB69-23CF-44E3-9099-C40C66FF867C}">
                  <a14:compatExt spid="_x0000_s5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478</xdr:row>
          <xdr:rowOff>0</xdr:rowOff>
        </xdr:from>
        <xdr:to>
          <xdr:col>6</xdr:col>
          <xdr:colOff>0</xdr:colOff>
          <xdr:row>479</xdr:row>
          <xdr:rowOff>0</xdr:rowOff>
        </xdr:to>
        <xdr:sp macro="" textlink="">
          <xdr:nvSpPr>
            <xdr:cNvPr id="5645" name="Button 1549" hidden="1">
              <a:extLst>
                <a:ext uri="{63B3BB69-23CF-44E3-9099-C40C66FF867C}">
                  <a14:compatExt spid="_x0000_s5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479</xdr:row>
          <xdr:rowOff>0</xdr:rowOff>
        </xdr:from>
        <xdr:to>
          <xdr:col>6</xdr:col>
          <xdr:colOff>0</xdr:colOff>
          <xdr:row>480</xdr:row>
          <xdr:rowOff>0</xdr:rowOff>
        </xdr:to>
        <xdr:sp macro="" textlink="">
          <xdr:nvSpPr>
            <xdr:cNvPr id="5646" name="Button 1550" hidden="1">
              <a:extLst>
                <a:ext uri="{63B3BB69-23CF-44E3-9099-C40C66FF867C}">
                  <a14:compatExt spid="_x0000_s5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480</xdr:row>
          <xdr:rowOff>0</xdr:rowOff>
        </xdr:from>
        <xdr:to>
          <xdr:col>6</xdr:col>
          <xdr:colOff>0</xdr:colOff>
          <xdr:row>481</xdr:row>
          <xdr:rowOff>0</xdr:rowOff>
        </xdr:to>
        <xdr:sp macro="" textlink="">
          <xdr:nvSpPr>
            <xdr:cNvPr id="5647" name="Button 1551" hidden="1">
              <a:extLst>
                <a:ext uri="{63B3BB69-23CF-44E3-9099-C40C66FF867C}">
                  <a14:compatExt spid="_x0000_s5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481</xdr:row>
          <xdr:rowOff>0</xdr:rowOff>
        </xdr:from>
        <xdr:to>
          <xdr:col>6</xdr:col>
          <xdr:colOff>0</xdr:colOff>
          <xdr:row>482</xdr:row>
          <xdr:rowOff>0</xdr:rowOff>
        </xdr:to>
        <xdr:sp macro="" textlink="">
          <xdr:nvSpPr>
            <xdr:cNvPr id="5648" name="Button 1552" hidden="1">
              <a:extLst>
                <a:ext uri="{63B3BB69-23CF-44E3-9099-C40C66FF867C}">
                  <a14:compatExt spid="_x0000_s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482</xdr:row>
          <xdr:rowOff>0</xdr:rowOff>
        </xdr:from>
        <xdr:to>
          <xdr:col>6</xdr:col>
          <xdr:colOff>0</xdr:colOff>
          <xdr:row>483</xdr:row>
          <xdr:rowOff>0</xdr:rowOff>
        </xdr:to>
        <xdr:sp macro="" textlink="">
          <xdr:nvSpPr>
            <xdr:cNvPr id="5649" name="Button 1553" hidden="1">
              <a:extLst>
                <a:ext uri="{63B3BB69-23CF-44E3-9099-C40C66FF867C}">
                  <a14:compatExt spid="_x0000_s5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483</xdr:row>
          <xdr:rowOff>0</xdr:rowOff>
        </xdr:from>
        <xdr:to>
          <xdr:col>6</xdr:col>
          <xdr:colOff>0</xdr:colOff>
          <xdr:row>484</xdr:row>
          <xdr:rowOff>0</xdr:rowOff>
        </xdr:to>
        <xdr:sp macro="" textlink="">
          <xdr:nvSpPr>
            <xdr:cNvPr id="5650" name="Button 1554" hidden="1">
              <a:extLst>
                <a:ext uri="{63B3BB69-23CF-44E3-9099-C40C66FF867C}">
                  <a14:compatExt spid="_x0000_s5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484</xdr:row>
          <xdr:rowOff>0</xdr:rowOff>
        </xdr:from>
        <xdr:to>
          <xdr:col>6</xdr:col>
          <xdr:colOff>0</xdr:colOff>
          <xdr:row>485</xdr:row>
          <xdr:rowOff>0</xdr:rowOff>
        </xdr:to>
        <xdr:sp macro="" textlink="">
          <xdr:nvSpPr>
            <xdr:cNvPr id="5651" name="Button 1555" hidden="1">
              <a:extLst>
                <a:ext uri="{63B3BB69-23CF-44E3-9099-C40C66FF867C}">
                  <a14:compatExt spid="_x0000_s5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485</xdr:row>
          <xdr:rowOff>0</xdr:rowOff>
        </xdr:from>
        <xdr:to>
          <xdr:col>6</xdr:col>
          <xdr:colOff>0</xdr:colOff>
          <xdr:row>486</xdr:row>
          <xdr:rowOff>0</xdr:rowOff>
        </xdr:to>
        <xdr:sp macro="" textlink="">
          <xdr:nvSpPr>
            <xdr:cNvPr id="5652" name="Button 1556" hidden="1">
              <a:extLst>
                <a:ext uri="{63B3BB69-23CF-44E3-9099-C40C66FF867C}">
                  <a14:compatExt spid="_x0000_s5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486</xdr:row>
          <xdr:rowOff>0</xdr:rowOff>
        </xdr:from>
        <xdr:to>
          <xdr:col>6</xdr:col>
          <xdr:colOff>0</xdr:colOff>
          <xdr:row>487</xdr:row>
          <xdr:rowOff>0</xdr:rowOff>
        </xdr:to>
        <xdr:sp macro="" textlink="">
          <xdr:nvSpPr>
            <xdr:cNvPr id="5653" name="Button 1557" hidden="1">
              <a:extLst>
                <a:ext uri="{63B3BB69-23CF-44E3-9099-C40C66FF867C}">
                  <a14:compatExt spid="_x0000_s5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487</xdr:row>
          <xdr:rowOff>0</xdr:rowOff>
        </xdr:from>
        <xdr:to>
          <xdr:col>6</xdr:col>
          <xdr:colOff>0</xdr:colOff>
          <xdr:row>488</xdr:row>
          <xdr:rowOff>0</xdr:rowOff>
        </xdr:to>
        <xdr:sp macro="" textlink="">
          <xdr:nvSpPr>
            <xdr:cNvPr id="5654" name="Button 1558" hidden="1">
              <a:extLst>
                <a:ext uri="{63B3BB69-23CF-44E3-9099-C40C66FF867C}">
                  <a14:compatExt spid="_x0000_s5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488</xdr:row>
          <xdr:rowOff>0</xdr:rowOff>
        </xdr:from>
        <xdr:to>
          <xdr:col>6</xdr:col>
          <xdr:colOff>0</xdr:colOff>
          <xdr:row>489</xdr:row>
          <xdr:rowOff>0</xdr:rowOff>
        </xdr:to>
        <xdr:sp macro="" textlink="">
          <xdr:nvSpPr>
            <xdr:cNvPr id="5655" name="Button 1559" hidden="1">
              <a:extLst>
                <a:ext uri="{63B3BB69-23CF-44E3-9099-C40C66FF867C}">
                  <a14:compatExt spid="_x0000_s5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489</xdr:row>
          <xdr:rowOff>0</xdr:rowOff>
        </xdr:from>
        <xdr:to>
          <xdr:col>6</xdr:col>
          <xdr:colOff>0</xdr:colOff>
          <xdr:row>490</xdr:row>
          <xdr:rowOff>0</xdr:rowOff>
        </xdr:to>
        <xdr:sp macro="" textlink="">
          <xdr:nvSpPr>
            <xdr:cNvPr id="5657" name="Button 1561" hidden="1">
              <a:extLst>
                <a:ext uri="{63B3BB69-23CF-44E3-9099-C40C66FF867C}">
                  <a14:compatExt spid="_x0000_s5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dvantage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 2">
      <a:maj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ＭＳ Ｐ明朝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Advantage">
      <a: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6000000" scaled="1"/>
        </a:gradFill>
        <a:gradFill rotWithShape="1">
          <a:gsLst>
            <a:gs pos="0">
              <a:schemeClr val="phClr"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5400000" scaled="1"/>
        </a:gra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FFFFFF">
                <a:alpha val="75000"/>
              </a:srgbClr>
            </a:innerShdw>
            <a:outerShdw blurRad="63500" dist="25400" dir="5400000" rotWithShape="0">
              <a:srgbClr val="808080">
                <a:alpha val="7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twoPt" dir="tl">
              <a:rot lat="0" lon="0" rev="4500000"/>
            </a:lightRig>
          </a:scene3d>
          <a:sp3d>
            <a:bevelT w="635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1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459" Type="http://schemas.openxmlformats.org/officeDocument/2006/relationships/ctrlProp" Target="../ctrlProps/ctrlProp45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170" Type="http://schemas.openxmlformats.org/officeDocument/2006/relationships/ctrlProp" Target="../ctrlProps/ctrlProp168.xml"/><Relationship Id="rId171" Type="http://schemas.openxmlformats.org/officeDocument/2006/relationships/ctrlProp" Target="../ctrlProps/ctrlProp169.xml"/><Relationship Id="rId172" Type="http://schemas.openxmlformats.org/officeDocument/2006/relationships/ctrlProp" Target="../ctrlProps/ctrlProp170.xml"/><Relationship Id="rId173" Type="http://schemas.openxmlformats.org/officeDocument/2006/relationships/ctrlProp" Target="../ctrlProps/ctrlProp171.xml"/><Relationship Id="rId174" Type="http://schemas.openxmlformats.org/officeDocument/2006/relationships/ctrlProp" Target="../ctrlProps/ctrlProp172.xml"/><Relationship Id="rId175" Type="http://schemas.openxmlformats.org/officeDocument/2006/relationships/ctrlProp" Target="../ctrlProps/ctrlProp173.xml"/><Relationship Id="rId176" Type="http://schemas.openxmlformats.org/officeDocument/2006/relationships/ctrlProp" Target="../ctrlProps/ctrlProp174.xml"/><Relationship Id="rId177" Type="http://schemas.openxmlformats.org/officeDocument/2006/relationships/ctrlProp" Target="../ctrlProps/ctrlProp175.xml"/><Relationship Id="rId178" Type="http://schemas.openxmlformats.org/officeDocument/2006/relationships/ctrlProp" Target="../ctrlProps/ctrlProp176.xml"/><Relationship Id="rId179" Type="http://schemas.openxmlformats.org/officeDocument/2006/relationships/ctrlProp" Target="../ctrlProps/ctrlProp177.xml"/><Relationship Id="rId230" Type="http://schemas.openxmlformats.org/officeDocument/2006/relationships/ctrlProp" Target="../ctrlProps/ctrlProp228.xml"/><Relationship Id="rId231" Type="http://schemas.openxmlformats.org/officeDocument/2006/relationships/ctrlProp" Target="../ctrlProps/ctrlProp229.xml"/><Relationship Id="rId232" Type="http://schemas.openxmlformats.org/officeDocument/2006/relationships/ctrlProp" Target="../ctrlProps/ctrlProp230.xml"/><Relationship Id="rId233" Type="http://schemas.openxmlformats.org/officeDocument/2006/relationships/ctrlProp" Target="../ctrlProps/ctrlProp231.xml"/><Relationship Id="rId234" Type="http://schemas.openxmlformats.org/officeDocument/2006/relationships/ctrlProp" Target="../ctrlProps/ctrlProp232.xml"/><Relationship Id="rId235" Type="http://schemas.openxmlformats.org/officeDocument/2006/relationships/ctrlProp" Target="../ctrlProps/ctrlProp233.xml"/><Relationship Id="rId236" Type="http://schemas.openxmlformats.org/officeDocument/2006/relationships/ctrlProp" Target="../ctrlProps/ctrlProp234.xml"/><Relationship Id="rId237" Type="http://schemas.openxmlformats.org/officeDocument/2006/relationships/ctrlProp" Target="../ctrlProps/ctrlProp235.xml"/><Relationship Id="rId238" Type="http://schemas.openxmlformats.org/officeDocument/2006/relationships/ctrlProp" Target="../ctrlProps/ctrlProp236.xml"/><Relationship Id="rId239" Type="http://schemas.openxmlformats.org/officeDocument/2006/relationships/ctrlProp" Target="../ctrlProps/ctrlProp237.xml"/><Relationship Id="rId460" Type="http://schemas.openxmlformats.org/officeDocument/2006/relationships/ctrlProp" Target="../ctrlProps/ctrlProp458.xml"/><Relationship Id="rId461" Type="http://schemas.openxmlformats.org/officeDocument/2006/relationships/ctrlProp" Target="../ctrlProps/ctrlProp459.xml"/><Relationship Id="rId462" Type="http://schemas.openxmlformats.org/officeDocument/2006/relationships/ctrlProp" Target="../ctrlProps/ctrlProp460.xml"/><Relationship Id="rId463" Type="http://schemas.openxmlformats.org/officeDocument/2006/relationships/ctrlProp" Target="../ctrlProps/ctrlProp461.xml"/><Relationship Id="rId464" Type="http://schemas.openxmlformats.org/officeDocument/2006/relationships/ctrlProp" Target="../ctrlProps/ctrlProp462.xml"/><Relationship Id="rId465" Type="http://schemas.openxmlformats.org/officeDocument/2006/relationships/ctrlProp" Target="../ctrlProps/ctrlProp463.xml"/><Relationship Id="rId466" Type="http://schemas.openxmlformats.org/officeDocument/2006/relationships/ctrlProp" Target="../ctrlProps/ctrlProp464.xml"/><Relationship Id="rId467" Type="http://schemas.openxmlformats.org/officeDocument/2006/relationships/ctrlProp" Target="../ctrlProps/ctrlProp465.xml"/><Relationship Id="rId468" Type="http://schemas.openxmlformats.org/officeDocument/2006/relationships/ctrlProp" Target="../ctrlProps/ctrlProp466.xml"/><Relationship Id="rId469" Type="http://schemas.openxmlformats.org/officeDocument/2006/relationships/ctrlProp" Target="../ctrlProps/ctrlProp46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180" Type="http://schemas.openxmlformats.org/officeDocument/2006/relationships/ctrlProp" Target="../ctrlProps/ctrlProp178.xml"/><Relationship Id="rId181" Type="http://schemas.openxmlformats.org/officeDocument/2006/relationships/ctrlProp" Target="../ctrlProps/ctrlProp179.xml"/><Relationship Id="rId182" Type="http://schemas.openxmlformats.org/officeDocument/2006/relationships/ctrlProp" Target="../ctrlProps/ctrlProp180.xml"/><Relationship Id="rId183" Type="http://schemas.openxmlformats.org/officeDocument/2006/relationships/ctrlProp" Target="../ctrlProps/ctrlProp181.xml"/><Relationship Id="rId184" Type="http://schemas.openxmlformats.org/officeDocument/2006/relationships/ctrlProp" Target="../ctrlProps/ctrlProp182.xml"/><Relationship Id="rId185" Type="http://schemas.openxmlformats.org/officeDocument/2006/relationships/ctrlProp" Target="../ctrlProps/ctrlProp183.xml"/><Relationship Id="rId186" Type="http://schemas.openxmlformats.org/officeDocument/2006/relationships/ctrlProp" Target="../ctrlProps/ctrlProp184.xml"/><Relationship Id="rId187" Type="http://schemas.openxmlformats.org/officeDocument/2006/relationships/ctrlProp" Target="../ctrlProps/ctrlProp185.xml"/><Relationship Id="rId188" Type="http://schemas.openxmlformats.org/officeDocument/2006/relationships/ctrlProp" Target="../ctrlProps/ctrlProp186.xml"/><Relationship Id="rId189" Type="http://schemas.openxmlformats.org/officeDocument/2006/relationships/ctrlProp" Target="../ctrlProps/ctrlProp187.xml"/><Relationship Id="rId240" Type="http://schemas.openxmlformats.org/officeDocument/2006/relationships/ctrlProp" Target="../ctrlProps/ctrlProp238.xml"/><Relationship Id="rId241" Type="http://schemas.openxmlformats.org/officeDocument/2006/relationships/ctrlProp" Target="../ctrlProps/ctrlProp239.xml"/><Relationship Id="rId242" Type="http://schemas.openxmlformats.org/officeDocument/2006/relationships/ctrlProp" Target="../ctrlProps/ctrlProp240.xml"/><Relationship Id="rId243" Type="http://schemas.openxmlformats.org/officeDocument/2006/relationships/ctrlProp" Target="../ctrlProps/ctrlProp241.xml"/><Relationship Id="rId244" Type="http://schemas.openxmlformats.org/officeDocument/2006/relationships/ctrlProp" Target="../ctrlProps/ctrlProp242.xml"/><Relationship Id="rId245" Type="http://schemas.openxmlformats.org/officeDocument/2006/relationships/ctrlProp" Target="../ctrlProps/ctrlProp243.xml"/><Relationship Id="rId246" Type="http://schemas.openxmlformats.org/officeDocument/2006/relationships/ctrlProp" Target="../ctrlProps/ctrlProp244.xml"/><Relationship Id="rId247" Type="http://schemas.openxmlformats.org/officeDocument/2006/relationships/ctrlProp" Target="../ctrlProps/ctrlProp245.xml"/><Relationship Id="rId248" Type="http://schemas.openxmlformats.org/officeDocument/2006/relationships/ctrlProp" Target="../ctrlProps/ctrlProp246.xml"/><Relationship Id="rId249" Type="http://schemas.openxmlformats.org/officeDocument/2006/relationships/ctrlProp" Target="../ctrlProps/ctrlProp247.xml"/><Relationship Id="rId300" Type="http://schemas.openxmlformats.org/officeDocument/2006/relationships/ctrlProp" Target="../ctrlProps/ctrlProp298.xml"/><Relationship Id="rId301" Type="http://schemas.openxmlformats.org/officeDocument/2006/relationships/ctrlProp" Target="../ctrlProps/ctrlProp299.xml"/><Relationship Id="rId302" Type="http://schemas.openxmlformats.org/officeDocument/2006/relationships/ctrlProp" Target="../ctrlProps/ctrlProp300.xml"/><Relationship Id="rId303" Type="http://schemas.openxmlformats.org/officeDocument/2006/relationships/ctrlProp" Target="../ctrlProps/ctrlProp301.xml"/><Relationship Id="rId304" Type="http://schemas.openxmlformats.org/officeDocument/2006/relationships/ctrlProp" Target="../ctrlProps/ctrlProp302.xml"/><Relationship Id="rId305" Type="http://schemas.openxmlformats.org/officeDocument/2006/relationships/ctrlProp" Target="../ctrlProps/ctrlProp303.xml"/><Relationship Id="rId306" Type="http://schemas.openxmlformats.org/officeDocument/2006/relationships/ctrlProp" Target="../ctrlProps/ctrlProp304.xml"/><Relationship Id="rId307" Type="http://schemas.openxmlformats.org/officeDocument/2006/relationships/ctrlProp" Target="../ctrlProps/ctrlProp305.xml"/><Relationship Id="rId308" Type="http://schemas.openxmlformats.org/officeDocument/2006/relationships/ctrlProp" Target="../ctrlProps/ctrlProp306.xml"/><Relationship Id="rId309" Type="http://schemas.openxmlformats.org/officeDocument/2006/relationships/ctrlProp" Target="../ctrlProps/ctrlProp307.xml"/><Relationship Id="rId470" Type="http://schemas.openxmlformats.org/officeDocument/2006/relationships/ctrlProp" Target="../ctrlProps/ctrlProp468.xml"/><Relationship Id="rId471" Type="http://schemas.openxmlformats.org/officeDocument/2006/relationships/ctrlProp" Target="../ctrlProps/ctrlProp469.xml"/><Relationship Id="rId472" Type="http://schemas.openxmlformats.org/officeDocument/2006/relationships/ctrlProp" Target="../ctrlProps/ctrlProp470.xml"/><Relationship Id="rId473" Type="http://schemas.openxmlformats.org/officeDocument/2006/relationships/ctrlProp" Target="../ctrlProps/ctrlProp471.xml"/><Relationship Id="rId474" Type="http://schemas.openxmlformats.org/officeDocument/2006/relationships/ctrlProp" Target="../ctrlProps/ctrlProp472.xml"/><Relationship Id="rId475" Type="http://schemas.openxmlformats.org/officeDocument/2006/relationships/ctrlProp" Target="../ctrlProps/ctrlProp473.xml"/><Relationship Id="rId476" Type="http://schemas.openxmlformats.org/officeDocument/2006/relationships/ctrlProp" Target="../ctrlProps/ctrlProp474.xml"/><Relationship Id="rId477" Type="http://schemas.openxmlformats.org/officeDocument/2006/relationships/ctrlProp" Target="../ctrlProps/ctrlProp475.xml"/><Relationship Id="rId478" Type="http://schemas.openxmlformats.org/officeDocument/2006/relationships/ctrlProp" Target="../ctrlProps/ctrlProp476.xml"/><Relationship Id="rId479" Type="http://schemas.openxmlformats.org/officeDocument/2006/relationships/ctrlProp" Target="../ctrlProps/ctrlProp47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90" Type="http://schemas.openxmlformats.org/officeDocument/2006/relationships/ctrlProp" Target="../ctrlProps/ctrlProp188.xml"/><Relationship Id="rId191" Type="http://schemas.openxmlformats.org/officeDocument/2006/relationships/ctrlProp" Target="../ctrlProps/ctrlProp189.xml"/><Relationship Id="rId192" Type="http://schemas.openxmlformats.org/officeDocument/2006/relationships/ctrlProp" Target="../ctrlProps/ctrlProp190.xml"/><Relationship Id="rId193" Type="http://schemas.openxmlformats.org/officeDocument/2006/relationships/ctrlProp" Target="../ctrlProps/ctrlProp191.xml"/><Relationship Id="rId194" Type="http://schemas.openxmlformats.org/officeDocument/2006/relationships/ctrlProp" Target="../ctrlProps/ctrlProp192.xml"/><Relationship Id="rId195" Type="http://schemas.openxmlformats.org/officeDocument/2006/relationships/ctrlProp" Target="../ctrlProps/ctrlProp193.xml"/><Relationship Id="rId196" Type="http://schemas.openxmlformats.org/officeDocument/2006/relationships/ctrlProp" Target="../ctrlProps/ctrlProp194.xml"/><Relationship Id="rId197" Type="http://schemas.openxmlformats.org/officeDocument/2006/relationships/ctrlProp" Target="../ctrlProps/ctrlProp195.xml"/><Relationship Id="rId198" Type="http://schemas.openxmlformats.org/officeDocument/2006/relationships/ctrlProp" Target="../ctrlProps/ctrlProp196.xml"/><Relationship Id="rId199" Type="http://schemas.openxmlformats.org/officeDocument/2006/relationships/ctrlProp" Target="../ctrlProps/ctrlProp197.xml"/><Relationship Id="rId250" Type="http://schemas.openxmlformats.org/officeDocument/2006/relationships/ctrlProp" Target="../ctrlProps/ctrlProp248.xml"/><Relationship Id="rId251" Type="http://schemas.openxmlformats.org/officeDocument/2006/relationships/ctrlProp" Target="../ctrlProps/ctrlProp249.xml"/><Relationship Id="rId252" Type="http://schemas.openxmlformats.org/officeDocument/2006/relationships/ctrlProp" Target="../ctrlProps/ctrlProp250.xml"/><Relationship Id="rId253" Type="http://schemas.openxmlformats.org/officeDocument/2006/relationships/ctrlProp" Target="../ctrlProps/ctrlProp251.xml"/><Relationship Id="rId254" Type="http://schemas.openxmlformats.org/officeDocument/2006/relationships/ctrlProp" Target="../ctrlProps/ctrlProp252.xml"/><Relationship Id="rId255" Type="http://schemas.openxmlformats.org/officeDocument/2006/relationships/ctrlProp" Target="../ctrlProps/ctrlProp253.xml"/><Relationship Id="rId256" Type="http://schemas.openxmlformats.org/officeDocument/2006/relationships/ctrlProp" Target="../ctrlProps/ctrlProp254.xml"/><Relationship Id="rId257" Type="http://schemas.openxmlformats.org/officeDocument/2006/relationships/ctrlProp" Target="../ctrlProps/ctrlProp255.xml"/><Relationship Id="rId258" Type="http://schemas.openxmlformats.org/officeDocument/2006/relationships/ctrlProp" Target="../ctrlProps/ctrlProp256.xml"/><Relationship Id="rId259" Type="http://schemas.openxmlformats.org/officeDocument/2006/relationships/ctrlProp" Target="../ctrlProps/ctrlProp257.xml"/><Relationship Id="rId310" Type="http://schemas.openxmlformats.org/officeDocument/2006/relationships/ctrlProp" Target="../ctrlProps/ctrlProp308.xml"/><Relationship Id="rId311" Type="http://schemas.openxmlformats.org/officeDocument/2006/relationships/ctrlProp" Target="../ctrlProps/ctrlProp309.xml"/><Relationship Id="rId312" Type="http://schemas.openxmlformats.org/officeDocument/2006/relationships/ctrlProp" Target="../ctrlProps/ctrlProp310.xml"/><Relationship Id="rId313" Type="http://schemas.openxmlformats.org/officeDocument/2006/relationships/ctrlProp" Target="../ctrlProps/ctrlProp311.xml"/><Relationship Id="rId314" Type="http://schemas.openxmlformats.org/officeDocument/2006/relationships/ctrlProp" Target="../ctrlProps/ctrlProp312.xml"/><Relationship Id="rId315" Type="http://schemas.openxmlformats.org/officeDocument/2006/relationships/ctrlProp" Target="../ctrlProps/ctrlProp313.xml"/><Relationship Id="rId316" Type="http://schemas.openxmlformats.org/officeDocument/2006/relationships/ctrlProp" Target="../ctrlProps/ctrlProp314.xml"/><Relationship Id="rId317" Type="http://schemas.openxmlformats.org/officeDocument/2006/relationships/ctrlProp" Target="../ctrlProps/ctrlProp315.xml"/><Relationship Id="rId318" Type="http://schemas.openxmlformats.org/officeDocument/2006/relationships/ctrlProp" Target="../ctrlProps/ctrlProp316.xml"/><Relationship Id="rId319" Type="http://schemas.openxmlformats.org/officeDocument/2006/relationships/ctrlProp" Target="../ctrlProps/ctrlProp317.xml"/><Relationship Id="rId480" Type="http://schemas.openxmlformats.org/officeDocument/2006/relationships/ctrlProp" Target="../ctrlProps/ctrlProp478.xml"/><Relationship Id="rId481" Type="http://schemas.openxmlformats.org/officeDocument/2006/relationships/ctrlProp" Target="../ctrlProps/ctrlProp479.xml"/><Relationship Id="rId482" Type="http://schemas.openxmlformats.org/officeDocument/2006/relationships/ctrlProp" Target="../ctrlProps/ctrlProp480.xml"/><Relationship Id="rId483" Type="http://schemas.openxmlformats.org/officeDocument/2006/relationships/ctrlProp" Target="../ctrlProps/ctrlProp481.xml"/><Relationship Id="rId484" Type="http://schemas.openxmlformats.org/officeDocument/2006/relationships/ctrlProp" Target="../ctrlProps/ctrlProp482.xml"/><Relationship Id="rId485" Type="http://schemas.openxmlformats.org/officeDocument/2006/relationships/ctrlProp" Target="../ctrlProps/ctrlProp483.xml"/><Relationship Id="rId486" Type="http://schemas.openxmlformats.org/officeDocument/2006/relationships/ctrlProp" Target="../ctrlProps/ctrlProp484.xml"/><Relationship Id="rId487" Type="http://schemas.openxmlformats.org/officeDocument/2006/relationships/ctrlProp" Target="../ctrlProps/ctrlProp485.xml"/><Relationship Id="rId488" Type="http://schemas.openxmlformats.org/officeDocument/2006/relationships/ctrlProp" Target="../ctrlProps/ctrlProp486.xml"/><Relationship Id="rId489" Type="http://schemas.openxmlformats.org/officeDocument/2006/relationships/ctrlProp" Target="../ctrlProps/ctrlProp48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260" Type="http://schemas.openxmlformats.org/officeDocument/2006/relationships/ctrlProp" Target="../ctrlProps/ctrlProp258.xml"/><Relationship Id="rId261" Type="http://schemas.openxmlformats.org/officeDocument/2006/relationships/ctrlProp" Target="../ctrlProps/ctrlProp259.xml"/><Relationship Id="rId262" Type="http://schemas.openxmlformats.org/officeDocument/2006/relationships/ctrlProp" Target="../ctrlProps/ctrlProp260.xml"/><Relationship Id="rId263" Type="http://schemas.openxmlformats.org/officeDocument/2006/relationships/ctrlProp" Target="../ctrlProps/ctrlProp261.xml"/><Relationship Id="rId264" Type="http://schemas.openxmlformats.org/officeDocument/2006/relationships/ctrlProp" Target="../ctrlProps/ctrlProp262.xml"/><Relationship Id="rId265" Type="http://schemas.openxmlformats.org/officeDocument/2006/relationships/ctrlProp" Target="../ctrlProps/ctrlProp263.xml"/><Relationship Id="rId266" Type="http://schemas.openxmlformats.org/officeDocument/2006/relationships/ctrlProp" Target="../ctrlProps/ctrlProp264.xml"/><Relationship Id="rId267" Type="http://schemas.openxmlformats.org/officeDocument/2006/relationships/ctrlProp" Target="../ctrlProps/ctrlProp265.xml"/><Relationship Id="rId268" Type="http://schemas.openxmlformats.org/officeDocument/2006/relationships/ctrlProp" Target="../ctrlProps/ctrlProp266.xml"/><Relationship Id="rId269" Type="http://schemas.openxmlformats.org/officeDocument/2006/relationships/ctrlProp" Target="../ctrlProps/ctrlProp267.xml"/><Relationship Id="rId320" Type="http://schemas.openxmlformats.org/officeDocument/2006/relationships/ctrlProp" Target="../ctrlProps/ctrlProp318.xml"/><Relationship Id="rId321" Type="http://schemas.openxmlformats.org/officeDocument/2006/relationships/ctrlProp" Target="../ctrlProps/ctrlProp319.xml"/><Relationship Id="rId322" Type="http://schemas.openxmlformats.org/officeDocument/2006/relationships/ctrlProp" Target="../ctrlProps/ctrlProp320.xml"/><Relationship Id="rId323" Type="http://schemas.openxmlformats.org/officeDocument/2006/relationships/ctrlProp" Target="../ctrlProps/ctrlProp321.xml"/><Relationship Id="rId324" Type="http://schemas.openxmlformats.org/officeDocument/2006/relationships/ctrlProp" Target="../ctrlProps/ctrlProp322.xml"/><Relationship Id="rId325" Type="http://schemas.openxmlformats.org/officeDocument/2006/relationships/ctrlProp" Target="../ctrlProps/ctrlProp323.xml"/><Relationship Id="rId326" Type="http://schemas.openxmlformats.org/officeDocument/2006/relationships/ctrlProp" Target="../ctrlProps/ctrlProp324.xml"/><Relationship Id="rId327" Type="http://schemas.openxmlformats.org/officeDocument/2006/relationships/ctrlProp" Target="../ctrlProps/ctrlProp325.xml"/><Relationship Id="rId328" Type="http://schemas.openxmlformats.org/officeDocument/2006/relationships/ctrlProp" Target="../ctrlProps/ctrlProp326.xml"/><Relationship Id="rId329" Type="http://schemas.openxmlformats.org/officeDocument/2006/relationships/ctrlProp" Target="../ctrlProps/ctrlProp327.xml"/><Relationship Id="rId490" Type="http://schemas.openxmlformats.org/officeDocument/2006/relationships/ctrlProp" Target="../ctrlProps/ctrlProp488.xml"/><Relationship Id="rId491" Type="http://schemas.openxmlformats.org/officeDocument/2006/relationships/ctrlProp" Target="../ctrlProps/ctrlProp489.xml"/><Relationship Id="rId100" Type="http://schemas.openxmlformats.org/officeDocument/2006/relationships/ctrlProp" Target="../ctrlProps/ctrlProp98.xml"/><Relationship Id="rId101" Type="http://schemas.openxmlformats.org/officeDocument/2006/relationships/ctrlProp" Target="../ctrlProps/ctrlProp99.xml"/><Relationship Id="rId102" Type="http://schemas.openxmlformats.org/officeDocument/2006/relationships/ctrlProp" Target="../ctrlProps/ctrlProp100.xml"/><Relationship Id="rId103" Type="http://schemas.openxmlformats.org/officeDocument/2006/relationships/ctrlProp" Target="../ctrlProps/ctrlProp101.xml"/><Relationship Id="rId104" Type="http://schemas.openxmlformats.org/officeDocument/2006/relationships/ctrlProp" Target="../ctrlProps/ctrlProp102.xml"/><Relationship Id="rId105" Type="http://schemas.openxmlformats.org/officeDocument/2006/relationships/ctrlProp" Target="../ctrlProps/ctrlProp103.xml"/><Relationship Id="rId106" Type="http://schemas.openxmlformats.org/officeDocument/2006/relationships/ctrlProp" Target="../ctrlProps/ctrlProp104.xml"/><Relationship Id="rId107" Type="http://schemas.openxmlformats.org/officeDocument/2006/relationships/ctrlProp" Target="../ctrlProps/ctrlProp105.xml"/><Relationship Id="rId108" Type="http://schemas.openxmlformats.org/officeDocument/2006/relationships/ctrlProp" Target="../ctrlProps/ctrlProp106.xml"/><Relationship Id="rId109" Type="http://schemas.openxmlformats.org/officeDocument/2006/relationships/ctrlProp" Target="../ctrlProps/ctrlProp10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270" Type="http://schemas.openxmlformats.org/officeDocument/2006/relationships/ctrlProp" Target="../ctrlProps/ctrlProp268.xml"/><Relationship Id="rId271" Type="http://schemas.openxmlformats.org/officeDocument/2006/relationships/ctrlProp" Target="../ctrlProps/ctrlProp269.xml"/><Relationship Id="rId272" Type="http://schemas.openxmlformats.org/officeDocument/2006/relationships/ctrlProp" Target="../ctrlProps/ctrlProp270.xml"/><Relationship Id="rId273" Type="http://schemas.openxmlformats.org/officeDocument/2006/relationships/ctrlProp" Target="../ctrlProps/ctrlProp271.xml"/><Relationship Id="rId274" Type="http://schemas.openxmlformats.org/officeDocument/2006/relationships/ctrlProp" Target="../ctrlProps/ctrlProp272.xml"/><Relationship Id="rId275" Type="http://schemas.openxmlformats.org/officeDocument/2006/relationships/ctrlProp" Target="../ctrlProps/ctrlProp273.xml"/><Relationship Id="rId276" Type="http://schemas.openxmlformats.org/officeDocument/2006/relationships/ctrlProp" Target="../ctrlProps/ctrlProp274.xml"/><Relationship Id="rId277" Type="http://schemas.openxmlformats.org/officeDocument/2006/relationships/ctrlProp" Target="../ctrlProps/ctrlProp275.xml"/><Relationship Id="rId278" Type="http://schemas.openxmlformats.org/officeDocument/2006/relationships/ctrlProp" Target="../ctrlProps/ctrlProp276.xml"/><Relationship Id="rId279" Type="http://schemas.openxmlformats.org/officeDocument/2006/relationships/ctrlProp" Target="../ctrlProps/ctrlProp277.xml"/><Relationship Id="rId330" Type="http://schemas.openxmlformats.org/officeDocument/2006/relationships/ctrlProp" Target="../ctrlProps/ctrlProp328.xml"/><Relationship Id="rId331" Type="http://schemas.openxmlformats.org/officeDocument/2006/relationships/ctrlProp" Target="../ctrlProps/ctrlProp329.xml"/><Relationship Id="rId332" Type="http://schemas.openxmlformats.org/officeDocument/2006/relationships/ctrlProp" Target="../ctrlProps/ctrlProp330.xml"/><Relationship Id="rId333" Type="http://schemas.openxmlformats.org/officeDocument/2006/relationships/ctrlProp" Target="../ctrlProps/ctrlProp331.xml"/><Relationship Id="rId334" Type="http://schemas.openxmlformats.org/officeDocument/2006/relationships/ctrlProp" Target="../ctrlProps/ctrlProp332.xml"/><Relationship Id="rId335" Type="http://schemas.openxmlformats.org/officeDocument/2006/relationships/ctrlProp" Target="../ctrlProps/ctrlProp333.xml"/><Relationship Id="rId336" Type="http://schemas.openxmlformats.org/officeDocument/2006/relationships/ctrlProp" Target="../ctrlProps/ctrlProp334.xml"/><Relationship Id="rId337" Type="http://schemas.openxmlformats.org/officeDocument/2006/relationships/ctrlProp" Target="../ctrlProps/ctrlProp335.xml"/><Relationship Id="rId338" Type="http://schemas.openxmlformats.org/officeDocument/2006/relationships/ctrlProp" Target="../ctrlProps/ctrlProp336.xml"/><Relationship Id="rId339" Type="http://schemas.openxmlformats.org/officeDocument/2006/relationships/ctrlProp" Target="../ctrlProps/ctrlProp337.xml"/><Relationship Id="rId110" Type="http://schemas.openxmlformats.org/officeDocument/2006/relationships/ctrlProp" Target="../ctrlProps/ctrlProp108.xml"/><Relationship Id="rId111" Type="http://schemas.openxmlformats.org/officeDocument/2006/relationships/ctrlProp" Target="../ctrlProps/ctrlProp109.xml"/><Relationship Id="rId112" Type="http://schemas.openxmlformats.org/officeDocument/2006/relationships/ctrlProp" Target="../ctrlProps/ctrlProp110.xml"/><Relationship Id="rId113" Type="http://schemas.openxmlformats.org/officeDocument/2006/relationships/ctrlProp" Target="../ctrlProps/ctrlProp111.xml"/><Relationship Id="rId114" Type="http://schemas.openxmlformats.org/officeDocument/2006/relationships/ctrlProp" Target="../ctrlProps/ctrlProp112.xml"/><Relationship Id="rId115" Type="http://schemas.openxmlformats.org/officeDocument/2006/relationships/ctrlProp" Target="../ctrlProps/ctrlProp113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116" Type="http://schemas.openxmlformats.org/officeDocument/2006/relationships/ctrlProp" Target="../ctrlProps/ctrlProp114.xml"/><Relationship Id="rId117" Type="http://schemas.openxmlformats.org/officeDocument/2006/relationships/ctrlProp" Target="../ctrlProps/ctrlProp115.xml"/><Relationship Id="rId118" Type="http://schemas.openxmlformats.org/officeDocument/2006/relationships/ctrlProp" Target="../ctrlProps/ctrlProp116.xml"/><Relationship Id="rId119" Type="http://schemas.openxmlformats.org/officeDocument/2006/relationships/ctrlProp" Target="../ctrlProps/ctrlProp117.xml"/><Relationship Id="rId280" Type="http://schemas.openxmlformats.org/officeDocument/2006/relationships/ctrlProp" Target="../ctrlProps/ctrlProp278.xml"/><Relationship Id="rId281" Type="http://schemas.openxmlformats.org/officeDocument/2006/relationships/ctrlProp" Target="../ctrlProps/ctrlProp279.xml"/><Relationship Id="rId282" Type="http://schemas.openxmlformats.org/officeDocument/2006/relationships/ctrlProp" Target="../ctrlProps/ctrlProp280.xml"/><Relationship Id="rId283" Type="http://schemas.openxmlformats.org/officeDocument/2006/relationships/ctrlProp" Target="../ctrlProps/ctrlProp281.xml"/><Relationship Id="rId284" Type="http://schemas.openxmlformats.org/officeDocument/2006/relationships/ctrlProp" Target="../ctrlProps/ctrlProp282.xml"/><Relationship Id="rId285" Type="http://schemas.openxmlformats.org/officeDocument/2006/relationships/ctrlProp" Target="../ctrlProps/ctrlProp283.xml"/><Relationship Id="rId286" Type="http://schemas.openxmlformats.org/officeDocument/2006/relationships/ctrlProp" Target="../ctrlProps/ctrlProp284.xml"/><Relationship Id="rId287" Type="http://schemas.openxmlformats.org/officeDocument/2006/relationships/ctrlProp" Target="../ctrlProps/ctrlProp285.xml"/><Relationship Id="rId288" Type="http://schemas.openxmlformats.org/officeDocument/2006/relationships/ctrlProp" Target="../ctrlProps/ctrlProp286.xml"/><Relationship Id="rId289" Type="http://schemas.openxmlformats.org/officeDocument/2006/relationships/ctrlProp" Target="../ctrlProps/ctrlProp287.xml"/><Relationship Id="rId340" Type="http://schemas.openxmlformats.org/officeDocument/2006/relationships/ctrlProp" Target="../ctrlProps/ctrlProp338.xml"/><Relationship Id="rId341" Type="http://schemas.openxmlformats.org/officeDocument/2006/relationships/ctrlProp" Target="../ctrlProps/ctrlProp339.xml"/><Relationship Id="rId342" Type="http://schemas.openxmlformats.org/officeDocument/2006/relationships/ctrlProp" Target="../ctrlProps/ctrlProp340.xml"/><Relationship Id="rId343" Type="http://schemas.openxmlformats.org/officeDocument/2006/relationships/ctrlProp" Target="../ctrlProps/ctrlProp341.xml"/><Relationship Id="rId344" Type="http://schemas.openxmlformats.org/officeDocument/2006/relationships/ctrlProp" Target="../ctrlProps/ctrlProp342.xml"/><Relationship Id="rId345" Type="http://schemas.openxmlformats.org/officeDocument/2006/relationships/ctrlProp" Target="../ctrlProps/ctrlProp343.xml"/><Relationship Id="rId346" Type="http://schemas.openxmlformats.org/officeDocument/2006/relationships/ctrlProp" Target="../ctrlProps/ctrlProp344.xml"/><Relationship Id="rId347" Type="http://schemas.openxmlformats.org/officeDocument/2006/relationships/ctrlProp" Target="../ctrlProps/ctrlProp345.xml"/><Relationship Id="rId348" Type="http://schemas.openxmlformats.org/officeDocument/2006/relationships/ctrlProp" Target="../ctrlProps/ctrlProp346.xml"/><Relationship Id="rId349" Type="http://schemas.openxmlformats.org/officeDocument/2006/relationships/ctrlProp" Target="../ctrlProps/ctrlProp347.xml"/><Relationship Id="rId400" Type="http://schemas.openxmlformats.org/officeDocument/2006/relationships/ctrlProp" Target="../ctrlProps/ctrlProp398.xml"/><Relationship Id="rId401" Type="http://schemas.openxmlformats.org/officeDocument/2006/relationships/ctrlProp" Target="../ctrlProps/ctrlProp399.xml"/><Relationship Id="rId402" Type="http://schemas.openxmlformats.org/officeDocument/2006/relationships/ctrlProp" Target="../ctrlProps/ctrlProp400.xml"/><Relationship Id="rId403" Type="http://schemas.openxmlformats.org/officeDocument/2006/relationships/ctrlProp" Target="../ctrlProps/ctrlProp401.xml"/><Relationship Id="rId404" Type="http://schemas.openxmlformats.org/officeDocument/2006/relationships/ctrlProp" Target="../ctrlProps/ctrlProp402.xml"/><Relationship Id="rId405" Type="http://schemas.openxmlformats.org/officeDocument/2006/relationships/ctrlProp" Target="../ctrlProps/ctrlProp403.xml"/><Relationship Id="rId406" Type="http://schemas.openxmlformats.org/officeDocument/2006/relationships/ctrlProp" Target="../ctrlProps/ctrlProp404.xml"/><Relationship Id="rId407" Type="http://schemas.openxmlformats.org/officeDocument/2006/relationships/ctrlProp" Target="../ctrlProps/ctrlProp405.xml"/><Relationship Id="rId408" Type="http://schemas.openxmlformats.org/officeDocument/2006/relationships/ctrlProp" Target="../ctrlProps/ctrlProp406.xml"/><Relationship Id="rId409" Type="http://schemas.openxmlformats.org/officeDocument/2006/relationships/ctrlProp" Target="../ctrlProps/ctrlProp407.xml"/><Relationship Id="rId120" Type="http://schemas.openxmlformats.org/officeDocument/2006/relationships/ctrlProp" Target="../ctrlProps/ctrlProp118.xml"/><Relationship Id="rId121" Type="http://schemas.openxmlformats.org/officeDocument/2006/relationships/ctrlProp" Target="../ctrlProps/ctrlProp119.xml"/><Relationship Id="rId122" Type="http://schemas.openxmlformats.org/officeDocument/2006/relationships/ctrlProp" Target="../ctrlProps/ctrlProp120.xml"/><Relationship Id="rId123" Type="http://schemas.openxmlformats.org/officeDocument/2006/relationships/ctrlProp" Target="../ctrlProps/ctrlProp121.xml"/><Relationship Id="rId124" Type="http://schemas.openxmlformats.org/officeDocument/2006/relationships/ctrlProp" Target="../ctrlProps/ctrlProp122.xml"/><Relationship Id="rId125" Type="http://schemas.openxmlformats.org/officeDocument/2006/relationships/ctrlProp" Target="../ctrlProps/ctrlProp123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Relationship Id="rId88" Type="http://schemas.openxmlformats.org/officeDocument/2006/relationships/ctrlProp" Target="../ctrlProps/ctrlProp86.xml"/><Relationship Id="rId89" Type="http://schemas.openxmlformats.org/officeDocument/2006/relationships/ctrlProp" Target="../ctrlProps/ctrlProp87.xml"/><Relationship Id="rId126" Type="http://schemas.openxmlformats.org/officeDocument/2006/relationships/ctrlProp" Target="../ctrlProps/ctrlProp124.xml"/><Relationship Id="rId127" Type="http://schemas.openxmlformats.org/officeDocument/2006/relationships/ctrlProp" Target="../ctrlProps/ctrlProp125.xml"/><Relationship Id="rId128" Type="http://schemas.openxmlformats.org/officeDocument/2006/relationships/ctrlProp" Target="../ctrlProps/ctrlProp126.xml"/><Relationship Id="rId129" Type="http://schemas.openxmlformats.org/officeDocument/2006/relationships/ctrlProp" Target="../ctrlProps/ctrlProp127.xml"/><Relationship Id="rId290" Type="http://schemas.openxmlformats.org/officeDocument/2006/relationships/ctrlProp" Target="../ctrlProps/ctrlProp288.xml"/><Relationship Id="rId291" Type="http://schemas.openxmlformats.org/officeDocument/2006/relationships/ctrlProp" Target="../ctrlProps/ctrlProp289.xml"/><Relationship Id="rId292" Type="http://schemas.openxmlformats.org/officeDocument/2006/relationships/ctrlProp" Target="../ctrlProps/ctrlProp290.xml"/><Relationship Id="rId293" Type="http://schemas.openxmlformats.org/officeDocument/2006/relationships/ctrlProp" Target="../ctrlProps/ctrlProp291.xml"/><Relationship Id="rId294" Type="http://schemas.openxmlformats.org/officeDocument/2006/relationships/ctrlProp" Target="../ctrlProps/ctrlProp292.xml"/><Relationship Id="rId295" Type="http://schemas.openxmlformats.org/officeDocument/2006/relationships/ctrlProp" Target="../ctrlProps/ctrlProp293.xml"/><Relationship Id="rId296" Type="http://schemas.openxmlformats.org/officeDocument/2006/relationships/ctrlProp" Target="../ctrlProps/ctrlProp294.xml"/><Relationship Id="rId297" Type="http://schemas.openxmlformats.org/officeDocument/2006/relationships/ctrlProp" Target="../ctrlProps/ctrlProp295.xml"/><Relationship Id="rId298" Type="http://schemas.openxmlformats.org/officeDocument/2006/relationships/ctrlProp" Target="../ctrlProps/ctrlProp296.xml"/><Relationship Id="rId299" Type="http://schemas.openxmlformats.org/officeDocument/2006/relationships/ctrlProp" Target="../ctrlProps/ctrlProp297.xml"/><Relationship Id="rId350" Type="http://schemas.openxmlformats.org/officeDocument/2006/relationships/ctrlProp" Target="../ctrlProps/ctrlProp348.xml"/><Relationship Id="rId351" Type="http://schemas.openxmlformats.org/officeDocument/2006/relationships/ctrlProp" Target="../ctrlProps/ctrlProp349.xml"/><Relationship Id="rId352" Type="http://schemas.openxmlformats.org/officeDocument/2006/relationships/ctrlProp" Target="../ctrlProps/ctrlProp350.xml"/><Relationship Id="rId353" Type="http://schemas.openxmlformats.org/officeDocument/2006/relationships/ctrlProp" Target="../ctrlProps/ctrlProp351.xml"/><Relationship Id="rId354" Type="http://schemas.openxmlformats.org/officeDocument/2006/relationships/ctrlProp" Target="../ctrlProps/ctrlProp352.xml"/><Relationship Id="rId355" Type="http://schemas.openxmlformats.org/officeDocument/2006/relationships/ctrlProp" Target="../ctrlProps/ctrlProp353.xml"/><Relationship Id="rId356" Type="http://schemas.openxmlformats.org/officeDocument/2006/relationships/ctrlProp" Target="../ctrlProps/ctrlProp354.xml"/><Relationship Id="rId357" Type="http://schemas.openxmlformats.org/officeDocument/2006/relationships/ctrlProp" Target="../ctrlProps/ctrlProp355.xml"/><Relationship Id="rId358" Type="http://schemas.openxmlformats.org/officeDocument/2006/relationships/ctrlProp" Target="../ctrlProps/ctrlProp356.xml"/><Relationship Id="rId359" Type="http://schemas.openxmlformats.org/officeDocument/2006/relationships/ctrlProp" Target="../ctrlProps/ctrlProp357.xml"/><Relationship Id="rId410" Type="http://schemas.openxmlformats.org/officeDocument/2006/relationships/ctrlProp" Target="../ctrlProps/ctrlProp408.xml"/><Relationship Id="rId411" Type="http://schemas.openxmlformats.org/officeDocument/2006/relationships/ctrlProp" Target="../ctrlProps/ctrlProp409.xml"/><Relationship Id="rId412" Type="http://schemas.openxmlformats.org/officeDocument/2006/relationships/ctrlProp" Target="../ctrlProps/ctrlProp410.xml"/><Relationship Id="rId413" Type="http://schemas.openxmlformats.org/officeDocument/2006/relationships/ctrlProp" Target="../ctrlProps/ctrlProp411.xml"/><Relationship Id="rId414" Type="http://schemas.openxmlformats.org/officeDocument/2006/relationships/ctrlProp" Target="../ctrlProps/ctrlProp412.xml"/><Relationship Id="rId415" Type="http://schemas.openxmlformats.org/officeDocument/2006/relationships/ctrlProp" Target="../ctrlProps/ctrlProp413.xml"/><Relationship Id="rId416" Type="http://schemas.openxmlformats.org/officeDocument/2006/relationships/ctrlProp" Target="../ctrlProps/ctrlProp414.xml"/><Relationship Id="rId417" Type="http://schemas.openxmlformats.org/officeDocument/2006/relationships/ctrlProp" Target="../ctrlProps/ctrlProp415.xml"/><Relationship Id="rId418" Type="http://schemas.openxmlformats.org/officeDocument/2006/relationships/ctrlProp" Target="../ctrlProps/ctrlProp416.xml"/><Relationship Id="rId419" Type="http://schemas.openxmlformats.org/officeDocument/2006/relationships/ctrlProp" Target="../ctrlProps/ctrlProp417.xml"/><Relationship Id="rId130" Type="http://schemas.openxmlformats.org/officeDocument/2006/relationships/ctrlProp" Target="../ctrlProps/ctrlProp128.xml"/><Relationship Id="rId131" Type="http://schemas.openxmlformats.org/officeDocument/2006/relationships/ctrlProp" Target="../ctrlProps/ctrlProp129.xml"/><Relationship Id="rId132" Type="http://schemas.openxmlformats.org/officeDocument/2006/relationships/ctrlProp" Target="../ctrlProps/ctrlProp130.xml"/><Relationship Id="rId133" Type="http://schemas.openxmlformats.org/officeDocument/2006/relationships/ctrlProp" Target="../ctrlProps/ctrlProp131.xml"/><Relationship Id="rId134" Type="http://schemas.openxmlformats.org/officeDocument/2006/relationships/ctrlProp" Target="../ctrlProps/ctrlProp132.xml"/><Relationship Id="rId135" Type="http://schemas.openxmlformats.org/officeDocument/2006/relationships/ctrlProp" Target="../ctrlProps/ctrlProp133.xml"/><Relationship Id="rId90" Type="http://schemas.openxmlformats.org/officeDocument/2006/relationships/ctrlProp" Target="../ctrlProps/ctrlProp88.xml"/><Relationship Id="rId91" Type="http://schemas.openxmlformats.org/officeDocument/2006/relationships/ctrlProp" Target="../ctrlProps/ctrlProp89.xml"/><Relationship Id="rId92" Type="http://schemas.openxmlformats.org/officeDocument/2006/relationships/ctrlProp" Target="../ctrlProps/ctrlProp90.xml"/><Relationship Id="rId93" Type="http://schemas.openxmlformats.org/officeDocument/2006/relationships/ctrlProp" Target="../ctrlProps/ctrlProp91.xml"/><Relationship Id="rId94" Type="http://schemas.openxmlformats.org/officeDocument/2006/relationships/ctrlProp" Target="../ctrlProps/ctrlProp92.xml"/><Relationship Id="rId95" Type="http://schemas.openxmlformats.org/officeDocument/2006/relationships/ctrlProp" Target="../ctrlProps/ctrlProp93.xml"/><Relationship Id="rId96" Type="http://schemas.openxmlformats.org/officeDocument/2006/relationships/ctrlProp" Target="../ctrlProps/ctrlProp94.xml"/><Relationship Id="rId97" Type="http://schemas.openxmlformats.org/officeDocument/2006/relationships/ctrlProp" Target="../ctrlProps/ctrlProp95.xml"/><Relationship Id="rId98" Type="http://schemas.openxmlformats.org/officeDocument/2006/relationships/ctrlProp" Target="../ctrlProps/ctrlProp96.xml"/><Relationship Id="rId99" Type="http://schemas.openxmlformats.org/officeDocument/2006/relationships/ctrlProp" Target="../ctrlProps/ctrlProp97.xml"/><Relationship Id="rId136" Type="http://schemas.openxmlformats.org/officeDocument/2006/relationships/ctrlProp" Target="../ctrlProps/ctrlProp134.xml"/><Relationship Id="rId137" Type="http://schemas.openxmlformats.org/officeDocument/2006/relationships/ctrlProp" Target="../ctrlProps/ctrlProp135.xml"/><Relationship Id="rId138" Type="http://schemas.openxmlformats.org/officeDocument/2006/relationships/ctrlProp" Target="../ctrlProps/ctrlProp136.xml"/><Relationship Id="rId139" Type="http://schemas.openxmlformats.org/officeDocument/2006/relationships/ctrlProp" Target="../ctrlProps/ctrlProp137.xml"/><Relationship Id="rId360" Type="http://schemas.openxmlformats.org/officeDocument/2006/relationships/ctrlProp" Target="../ctrlProps/ctrlProp358.xml"/><Relationship Id="rId361" Type="http://schemas.openxmlformats.org/officeDocument/2006/relationships/ctrlProp" Target="../ctrlProps/ctrlProp359.xml"/><Relationship Id="rId362" Type="http://schemas.openxmlformats.org/officeDocument/2006/relationships/ctrlProp" Target="../ctrlProps/ctrlProp360.xml"/><Relationship Id="rId363" Type="http://schemas.openxmlformats.org/officeDocument/2006/relationships/ctrlProp" Target="../ctrlProps/ctrlProp361.xml"/><Relationship Id="rId364" Type="http://schemas.openxmlformats.org/officeDocument/2006/relationships/ctrlProp" Target="../ctrlProps/ctrlProp362.xml"/><Relationship Id="rId365" Type="http://schemas.openxmlformats.org/officeDocument/2006/relationships/ctrlProp" Target="../ctrlProps/ctrlProp363.xml"/><Relationship Id="rId366" Type="http://schemas.openxmlformats.org/officeDocument/2006/relationships/ctrlProp" Target="../ctrlProps/ctrlProp364.xml"/><Relationship Id="rId367" Type="http://schemas.openxmlformats.org/officeDocument/2006/relationships/ctrlProp" Target="../ctrlProps/ctrlProp365.xml"/><Relationship Id="rId368" Type="http://schemas.openxmlformats.org/officeDocument/2006/relationships/ctrlProp" Target="../ctrlProps/ctrlProp366.xml"/><Relationship Id="rId369" Type="http://schemas.openxmlformats.org/officeDocument/2006/relationships/ctrlProp" Target="../ctrlProps/ctrlProp367.xml"/><Relationship Id="rId420" Type="http://schemas.openxmlformats.org/officeDocument/2006/relationships/ctrlProp" Target="../ctrlProps/ctrlProp418.xml"/><Relationship Id="rId421" Type="http://schemas.openxmlformats.org/officeDocument/2006/relationships/ctrlProp" Target="../ctrlProps/ctrlProp419.xml"/><Relationship Id="rId422" Type="http://schemas.openxmlformats.org/officeDocument/2006/relationships/ctrlProp" Target="../ctrlProps/ctrlProp420.xml"/><Relationship Id="rId423" Type="http://schemas.openxmlformats.org/officeDocument/2006/relationships/ctrlProp" Target="../ctrlProps/ctrlProp421.xml"/><Relationship Id="rId424" Type="http://schemas.openxmlformats.org/officeDocument/2006/relationships/ctrlProp" Target="../ctrlProps/ctrlProp422.xml"/><Relationship Id="rId425" Type="http://schemas.openxmlformats.org/officeDocument/2006/relationships/ctrlProp" Target="../ctrlProps/ctrlProp423.xml"/><Relationship Id="rId426" Type="http://schemas.openxmlformats.org/officeDocument/2006/relationships/ctrlProp" Target="../ctrlProps/ctrlProp424.xml"/><Relationship Id="rId427" Type="http://schemas.openxmlformats.org/officeDocument/2006/relationships/ctrlProp" Target="../ctrlProps/ctrlProp425.xml"/><Relationship Id="rId428" Type="http://schemas.openxmlformats.org/officeDocument/2006/relationships/ctrlProp" Target="../ctrlProps/ctrlProp426.xml"/><Relationship Id="rId429" Type="http://schemas.openxmlformats.org/officeDocument/2006/relationships/ctrlProp" Target="../ctrlProps/ctrlProp427.xml"/><Relationship Id="rId140" Type="http://schemas.openxmlformats.org/officeDocument/2006/relationships/ctrlProp" Target="../ctrlProps/ctrlProp138.xml"/><Relationship Id="rId141" Type="http://schemas.openxmlformats.org/officeDocument/2006/relationships/ctrlProp" Target="../ctrlProps/ctrlProp139.xml"/><Relationship Id="rId142" Type="http://schemas.openxmlformats.org/officeDocument/2006/relationships/ctrlProp" Target="../ctrlProps/ctrlProp140.xml"/><Relationship Id="rId143" Type="http://schemas.openxmlformats.org/officeDocument/2006/relationships/ctrlProp" Target="../ctrlProps/ctrlProp141.xml"/><Relationship Id="rId144" Type="http://schemas.openxmlformats.org/officeDocument/2006/relationships/ctrlProp" Target="../ctrlProps/ctrlProp142.xml"/><Relationship Id="rId145" Type="http://schemas.openxmlformats.org/officeDocument/2006/relationships/ctrlProp" Target="../ctrlProps/ctrlProp143.xml"/><Relationship Id="rId146" Type="http://schemas.openxmlformats.org/officeDocument/2006/relationships/ctrlProp" Target="../ctrlProps/ctrlProp144.xml"/><Relationship Id="rId147" Type="http://schemas.openxmlformats.org/officeDocument/2006/relationships/ctrlProp" Target="../ctrlProps/ctrlProp145.xml"/><Relationship Id="rId148" Type="http://schemas.openxmlformats.org/officeDocument/2006/relationships/ctrlProp" Target="../ctrlProps/ctrlProp146.xml"/><Relationship Id="rId149" Type="http://schemas.openxmlformats.org/officeDocument/2006/relationships/ctrlProp" Target="../ctrlProps/ctrlProp147.xml"/><Relationship Id="rId200" Type="http://schemas.openxmlformats.org/officeDocument/2006/relationships/ctrlProp" Target="../ctrlProps/ctrlProp198.xml"/><Relationship Id="rId201" Type="http://schemas.openxmlformats.org/officeDocument/2006/relationships/ctrlProp" Target="../ctrlProps/ctrlProp199.xml"/><Relationship Id="rId202" Type="http://schemas.openxmlformats.org/officeDocument/2006/relationships/ctrlProp" Target="../ctrlProps/ctrlProp200.xml"/><Relationship Id="rId203" Type="http://schemas.openxmlformats.org/officeDocument/2006/relationships/ctrlProp" Target="../ctrlProps/ctrlProp201.xml"/><Relationship Id="rId204" Type="http://schemas.openxmlformats.org/officeDocument/2006/relationships/ctrlProp" Target="../ctrlProps/ctrlProp202.xml"/><Relationship Id="rId205" Type="http://schemas.openxmlformats.org/officeDocument/2006/relationships/ctrlProp" Target="../ctrlProps/ctrlProp203.xml"/><Relationship Id="rId206" Type="http://schemas.openxmlformats.org/officeDocument/2006/relationships/ctrlProp" Target="../ctrlProps/ctrlProp204.xml"/><Relationship Id="rId207" Type="http://schemas.openxmlformats.org/officeDocument/2006/relationships/ctrlProp" Target="../ctrlProps/ctrlProp205.xml"/><Relationship Id="rId208" Type="http://schemas.openxmlformats.org/officeDocument/2006/relationships/ctrlProp" Target="../ctrlProps/ctrlProp206.xml"/><Relationship Id="rId209" Type="http://schemas.openxmlformats.org/officeDocument/2006/relationships/ctrlProp" Target="../ctrlProps/ctrlProp207.xml"/><Relationship Id="rId370" Type="http://schemas.openxmlformats.org/officeDocument/2006/relationships/ctrlProp" Target="../ctrlProps/ctrlProp368.xml"/><Relationship Id="rId371" Type="http://schemas.openxmlformats.org/officeDocument/2006/relationships/ctrlProp" Target="../ctrlProps/ctrlProp369.xml"/><Relationship Id="rId372" Type="http://schemas.openxmlformats.org/officeDocument/2006/relationships/ctrlProp" Target="../ctrlProps/ctrlProp370.xml"/><Relationship Id="rId373" Type="http://schemas.openxmlformats.org/officeDocument/2006/relationships/ctrlProp" Target="../ctrlProps/ctrlProp371.xml"/><Relationship Id="rId374" Type="http://schemas.openxmlformats.org/officeDocument/2006/relationships/ctrlProp" Target="../ctrlProps/ctrlProp372.xml"/><Relationship Id="rId375" Type="http://schemas.openxmlformats.org/officeDocument/2006/relationships/ctrlProp" Target="../ctrlProps/ctrlProp373.xml"/><Relationship Id="rId376" Type="http://schemas.openxmlformats.org/officeDocument/2006/relationships/ctrlProp" Target="../ctrlProps/ctrlProp374.xml"/><Relationship Id="rId377" Type="http://schemas.openxmlformats.org/officeDocument/2006/relationships/ctrlProp" Target="../ctrlProps/ctrlProp375.xml"/><Relationship Id="rId378" Type="http://schemas.openxmlformats.org/officeDocument/2006/relationships/ctrlProp" Target="../ctrlProps/ctrlProp376.xml"/><Relationship Id="rId379" Type="http://schemas.openxmlformats.org/officeDocument/2006/relationships/ctrlProp" Target="../ctrlProps/ctrlProp377.xml"/><Relationship Id="rId430" Type="http://schemas.openxmlformats.org/officeDocument/2006/relationships/ctrlProp" Target="../ctrlProps/ctrlProp428.xml"/><Relationship Id="rId431" Type="http://schemas.openxmlformats.org/officeDocument/2006/relationships/ctrlProp" Target="../ctrlProps/ctrlProp429.xml"/><Relationship Id="rId432" Type="http://schemas.openxmlformats.org/officeDocument/2006/relationships/ctrlProp" Target="../ctrlProps/ctrlProp430.xml"/><Relationship Id="rId433" Type="http://schemas.openxmlformats.org/officeDocument/2006/relationships/ctrlProp" Target="../ctrlProps/ctrlProp431.xml"/><Relationship Id="rId434" Type="http://schemas.openxmlformats.org/officeDocument/2006/relationships/ctrlProp" Target="../ctrlProps/ctrlProp432.xml"/><Relationship Id="rId435" Type="http://schemas.openxmlformats.org/officeDocument/2006/relationships/ctrlProp" Target="../ctrlProps/ctrlProp433.xml"/><Relationship Id="rId436" Type="http://schemas.openxmlformats.org/officeDocument/2006/relationships/ctrlProp" Target="../ctrlProps/ctrlProp434.xml"/><Relationship Id="rId437" Type="http://schemas.openxmlformats.org/officeDocument/2006/relationships/ctrlProp" Target="../ctrlProps/ctrlProp435.xml"/><Relationship Id="rId438" Type="http://schemas.openxmlformats.org/officeDocument/2006/relationships/ctrlProp" Target="../ctrlProps/ctrlProp436.xml"/><Relationship Id="rId439" Type="http://schemas.openxmlformats.org/officeDocument/2006/relationships/ctrlProp" Target="../ctrlProps/ctrlProp437.xml"/><Relationship Id="rId150" Type="http://schemas.openxmlformats.org/officeDocument/2006/relationships/ctrlProp" Target="../ctrlProps/ctrlProp148.xml"/><Relationship Id="rId151" Type="http://schemas.openxmlformats.org/officeDocument/2006/relationships/ctrlProp" Target="../ctrlProps/ctrlProp149.xml"/><Relationship Id="rId152" Type="http://schemas.openxmlformats.org/officeDocument/2006/relationships/ctrlProp" Target="../ctrlProps/ctrlProp150.xml"/><Relationship Id="rId153" Type="http://schemas.openxmlformats.org/officeDocument/2006/relationships/ctrlProp" Target="../ctrlProps/ctrlProp151.xml"/><Relationship Id="rId154" Type="http://schemas.openxmlformats.org/officeDocument/2006/relationships/ctrlProp" Target="../ctrlProps/ctrlProp152.xml"/><Relationship Id="rId155" Type="http://schemas.openxmlformats.org/officeDocument/2006/relationships/ctrlProp" Target="../ctrlProps/ctrlProp153.xml"/><Relationship Id="rId156" Type="http://schemas.openxmlformats.org/officeDocument/2006/relationships/ctrlProp" Target="../ctrlProps/ctrlProp154.xml"/><Relationship Id="rId157" Type="http://schemas.openxmlformats.org/officeDocument/2006/relationships/ctrlProp" Target="../ctrlProps/ctrlProp155.xml"/><Relationship Id="rId158" Type="http://schemas.openxmlformats.org/officeDocument/2006/relationships/ctrlProp" Target="../ctrlProps/ctrlProp156.xml"/><Relationship Id="rId159" Type="http://schemas.openxmlformats.org/officeDocument/2006/relationships/ctrlProp" Target="../ctrlProps/ctrlProp157.xml"/><Relationship Id="rId210" Type="http://schemas.openxmlformats.org/officeDocument/2006/relationships/ctrlProp" Target="../ctrlProps/ctrlProp208.xml"/><Relationship Id="rId211" Type="http://schemas.openxmlformats.org/officeDocument/2006/relationships/ctrlProp" Target="../ctrlProps/ctrlProp209.xml"/><Relationship Id="rId212" Type="http://schemas.openxmlformats.org/officeDocument/2006/relationships/ctrlProp" Target="../ctrlProps/ctrlProp210.xml"/><Relationship Id="rId213" Type="http://schemas.openxmlformats.org/officeDocument/2006/relationships/ctrlProp" Target="../ctrlProps/ctrlProp211.xml"/><Relationship Id="rId214" Type="http://schemas.openxmlformats.org/officeDocument/2006/relationships/ctrlProp" Target="../ctrlProps/ctrlProp212.xml"/><Relationship Id="rId215" Type="http://schemas.openxmlformats.org/officeDocument/2006/relationships/ctrlProp" Target="../ctrlProps/ctrlProp213.xml"/><Relationship Id="rId216" Type="http://schemas.openxmlformats.org/officeDocument/2006/relationships/ctrlProp" Target="../ctrlProps/ctrlProp214.xml"/><Relationship Id="rId217" Type="http://schemas.openxmlformats.org/officeDocument/2006/relationships/ctrlProp" Target="../ctrlProps/ctrlProp215.xml"/><Relationship Id="rId218" Type="http://schemas.openxmlformats.org/officeDocument/2006/relationships/ctrlProp" Target="../ctrlProps/ctrlProp216.xml"/><Relationship Id="rId219" Type="http://schemas.openxmlformats.org/officeDocument/2006/relationships/ctrlProp" Target="../ctrlProps/ctrlProp217.xml"/><Relationship Id="rId380" Type="http://schemas.openxmlformats.org/officeDocument/2006/relationships/ctrlProp" Target="../ctrlProps/ctrlProp378.xml"/><Relationship Id="rId381" Type="http://schemas.openxmlformats.org/officeDocument/2006/relationships/ctrlProp" Target="../ctrlProps/ctrlProp379.xml"/><Relationship Id="rId382" Type="http://schemas.openxmlformats.org/officeDocument/2006/relationships/ctrlProp" Target="../ctrlProps/ctrlProp380.xml"/><Relationship Id="rId383" Type="http://schemas.openxmlformats.org/officeDocument/2006/relationships/ctrlProp" Target="../ctrlProps/ctrlProp381.xml"/><Relationship Id="rId384" Type="http://schemas.openxmlformats.org/officeDocument/2006/relationships/ctrlProp" Target="../ctrlProps/ctrlProp382.xml"/><Relationship Id="rId385" Type="http://schemas.openxmlformats.org/officeDocument/2006/relationships/ctrlProp" Target="../ctrlProps/ctrlProp383.xml"/><Relationship Id="rId386" Type="http://schemas.openxmlformats.org/officeDocument/2006/relationships/ctrlProp" Target="../ctrlProps/ctrlProp384.xml"/><Relationship Id="rId387" Type="http://schemas.openxmlformats.org/officeDocument/2006/relationships/ctrlProp" Target="../ctrlProps/ctrlProp385.xml"/><Relationship Id="rId388" Type="http://schemas.openxmlformats.org/officeDocument/2006/relationships/ctrlProp" Target="../ctrlProps/ctrlProp386.xml"/><Relationship Id="rId389" Type="http://schemas.openxmlformats.org/officeDocument/2006/relationships/ctrlProp" Target="../ctrlProps/ctrlProp387.xml"/><Relationship Id="rId440" Type="http://schemas.openxmlformats.org/officeDocument/2006/relationships/ctrlProp" Target="../ctrlProps/ctrlProp438.xml"/><Relationship Id="rId441" Type="http://schemas.openxmlformats.org/officeDocument/2006/relationships/ctrlProp" Target="../ctrlProps/ctrlProp439.xml"/><Relationship Id="rId442" Type="http://schemas.openxmlformats.org/officeDocument/2006/relationships/ctrlProp" Target="../ctrlProps/ctrlProp440.xml"/><Relationship Id="rId443" Type="http://schemas.openxmlformats.org/officeDocument/2006/relationships/ctrlProp" Target="../ctrlProps/ctrlProp441.xml"/><Relationship Id="rId444" Type="http://schemas.openxmlformats.org/officeDocument/2006/relationships/ctrlProp" Target="../ctrlProps/ctrlProp442.xml"/><Relationship Id="rId445" Type="http://schemas.openxmlformats.org/officeDocument/2006/relationships/ctrlProp" Target="../ctrlProps/ctrlProp443.xml"/><Relationship Id="rId446" Type="http://schemas.openxmlformats.org/officeDocument/2006/relationships/ctrlProp" Target="../ctrlProps/ctrlProp444.xml"/><Relationship Id="rId447" Type="http://schemas.openxmlformats.org/officeDocument/2006/relationships/ctrlProp" Target="../ctrlProps/ctrlProp445.xml"/><Relationship Id="rId448" Type="http://schemas.openxmlformats.org/officeDocument/2006/relationships/ctrlProp" Target="../ctrlProps/ctrlProp446.xml"/><Relationship Id="rId449" Type="http://schemas.openxmlformats.org/officeDocument/2006/relationships/ctrlProp" Target="../ctrlProps/ctrlProp44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60" Type="http://schemas.openxmlformats.org/officeDocument/2006/relationships/ctrlProp" Target="../ctrlProps/ctrlProp158.xml"/><Relationship Id="rId161" Type="http://schemas.openxmlformats.org/officeDocument/2006/relationships/ctrlProp" Target="../ctrlProps/ctrlProp159.xml"/><Relationship Id="rId162" Type="http://schemas.openxmlformats.org/officeDocument/2006/relationships/ctrlProp" Target="../ctrlProps/ctrlProp160.xml"/><Relationship Id="rId163" Type="http://schemas.openxmlformats.org/officeDocument/2006/relationships/ctrlProp" Target="../ctrlProps/ctrlProp161.xml"/><Relationship Id="rId164" Type="http://schemas.openxmlformats.org/officeDocument/2006/relationships/ctrlProp" Target="../ctrlProps/ctrlProp162.xml"/><Relationship Id="rId165" Type="http://schemas.openxmlformats.org/officeDocument/2006/relationships/ctrlProp" Target="../ctrlProps/ctrlProp163.xml"/><Relationship Id="rId166" Type="http://schemas.openxmlformats.org/officeDocument/2006/relationships/ctrlProp" Target="../ctrlProps/ctrlProp164.xml"/><Relationship Id="rId167" Type="http://schemas.openxmlformats.org/officeDocument/2006/relationships/ctrlProp" Target="../ctrlProps/ctrlProp165.xml"/><Relationship Id="rId168" Type="http://schemas.openxmlformats.org/officeDocument/2006/relationships/ctrlProp" Target="../ctrlProps/ctrlProp166.xml"/><Relationship Id="rId169" Type="http://schemas.openxmlformats.org/officeDocument/2006/relationships/ctrlProp" Target="../ctrlProps/ctrlProp167.xml"/><Relationship Id="rId220" Type="http://schemas.openxmlformats.org/officeDocument/2006/relationships/ctrlProp" Target="../ctrlProps/ctrlProp218.xml"/><Relationship Id="rId221" Type="http://schemas.openxmlformats.org/officeDocument/2006/relationships/ctrlProp" Target="../ctrlProps/ctrlProp219.xml"/><Relationship Id="rId222" Type="http://schemas.openxmlformats.org/officeDocument/2006/relationships/ctrlProp" Target="../ctrlProps/ctrlProp220.xml"/><Relationship Id="rId223" Type="http://schemas.openxmlformats.org/officeDocument/2006/relationships/ctrlProp" Target="../ctrlProps/ctrlProp221.xml"/><Relationship Id="rId224" Type="http://schemas.openxmlformats.org/officeDocument/2006/relationships/ctrlProp" Target="../ctrlProps/ctrlProp222.xml"/><Relationship Id="rId225" Type="http://schemas.openxmlformats.org/officeDocument/2006/relationships/ctrlProp" Target="../ctrlProps/ctrlProp223.xml"/><Relationship Id="rId226" Type="http://schemas.openxmlformats.org/officeDocument/2006/relationships/ctrlProp" Target="../ctrlProps/ctrlProp224.xml"/><Relationship Id="rId227" Type="http://schemas.openxmlformats.org/officeDocument/2006/relationships/ctrlProp" Target="../ctrlProps/ctrlProp225.xml"/><Relationship Id="rId228" Type="http://schemas.openxmlformats.org/officeDocument/2006/relationships/ctrlProp" Target="../ctrlProps/ctrlProp226.xml"/><Relationship Id="rId229" Type="http://schemas.openxmlformats.org/officeDocument/2006/relationships/ctrlProp" Target="../ctrlProps/ctrlProp227.xml"/><Relationship Id="rId390" Type="http://schemas.openxmlformats.org/officeDocument/2006/relationships/ctrlProp" Target="../ctrlProps/ctrlProp388.xml"/><Relationship Id="rId391" Type="http://schemas.openxmlformats.org/officeDocument/2006/relationships/ctrlProp" Target="../ctrlProps/ctrlProp389.xml"/><Relationship Id="rId392" Type="http://schemas.openxmlformats.org/officeDocument/2006/relationships/ctrlProp" Target="../ctrlProps/ctrlProp390.xml"/><Relationship Id="rId393" Type="http://schemas.openxmlformats.org/officeDocument/2006/relationships/ctrlProp" Target="../ctrlProps/ctrlProp391.xml"/><Relationship Id="rId394" Type="http://schemas.openxmlformats.org/officeDocument/2006/relationships/ctrlProp" Target="../ctrlProps/ctrlProp392.xml"/><Relationship Id="rId395" Type="http://schemas.openxmlformats.org/officeDocument/2006/relationships/ctrlProp" Target="../ctrlProps/ctrlProp393.xml"/><Relationship Id="rId396" Type="http://schemas.openxmlformats.org/officeDocument/2006/relationships/ctrlProp" Target="../ctrlProps/ctrlProp394.xml"/><Relationship Id="rId397" Type="http://schemas.openxmlformats.org/officeDocument/2006/relationships/ctrlProp" Target="../ctrlProps/ctrlProp395.xml"/><Relationship Id="rId398" Type="http://schemas.openxmlformats.org/officeDocument/2006/relationships/ctrlProp" Target="../ctrlProps/ctrlProp396.xml"/><Relationship Id="rId399" Type="http://schemas.openxmlformats.org/officeDocument/2006/relationships/ctrlProp" Target="../ctrlProps/ctrlProp397.xml"/><Relationship Id="rId450" Type="http://schemas.openxmlformats.org/officeDocument/2006/relationships/ctrlProp" Target="../ctrlProps/ctrlProp448.xml"/><Relationship Id="rId451" Type="http://schemas.openxmlformats.org/officeDocument/2006/relationships/ctrlProp" Target="../ctrlProps/ctrlProp449.xml"/><Relationship Id="rId452" Type="http://schemas.openxmlformats.org/officeDocument/2006/relationships/ctrlProp" Target="../ctrlProps/ctrlProp450.xml"/><Relationship Id="rId453" Type="http://schemas.openxmlformats.org/officeDocument/2006/relationships/ctrlProp" Target="../ctrlProps/ctrlProp451.xml"/><Relationship Id="rId454" Type="http://schemas.openxmlformats.org/officeDocument/2006/relationships/ctrlProp" Target="../ctrlProps/ctrlProp452.xml"/><Relationship Id="rId455" Type="http://schemas.openxmlformats.org/officeDocument/2006/relationships/ctrlProp" Target="../ctrlProps/ctrlProp453.xml"/><Relationship Id="rId456" Type="http://schemas.openxmlformats.org/officeDocument/2006/relationships/ctrlProp" Target="../ctrlProps/ctrlProp454.xml"/><Relationship Id="rId457" Type="http://schemas.openxmlformats.org/officeDocument/2006/relationships/ctrlProp" Target="../ctrlProps/ctrlProp455.xml"/><Relationship Id="rId458" Type="http://schemas.openxmlformats.org/officeDocument/2006/relationships/ctrlProp" Target="../ctrlProps/ctrlProp4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6"/>
  </sheetPr>
  <dimension ref="A1:IE554"/>
  <sheetViews>
    <sheetView workbookViewId="0">
      <pane ySplit="1" topLeftCell="A2" activePane="bottomLeft" state="frozen"/>
      <selection activeCell="J13" sqref="J13"/>
      <selection pane="bottomLeft" activeCell="A2" sqref="A2"/>
    </sheetView>
  </sheetViews>
  <sheetFormatPr baseColWidth="10" defaultRowHeight="15" x14ac:dyDescent="0"/>
  <cols>
    <col min="1" max="1" width="6" style="15" customWidth="1"/>
    <col min="2" max="2" width="26.140625" style="4" bestFit="1" customWidth="1"/>
    <col min="3" max="3" width="14.7109375" style="4" bestFit="1" customWidth="1"/>
    <col min="4" max="4" width="17.140625" style="4" customWidth="1"/>
    <col min="5" max="5" width="5.85546875" style="4" hidden="1" customWidth="1"/>
    <col min="6" max="6" width="10.7109375" style="4" customWidth="1" collapsed="1"/>
    <col min="7" max="8" width="10.7109375" style="4"/>
    <col min="9" max="9" width="14.28515625" style="4" customWidth="1"/>
    <col min="10" max="10" width="7" style="4" customWidth="1"/>
    <col min="11" max="16384" width="10.7109375" style="4"/>
  </cols>
  <sheetData>
    <row r="1" spans="1:239" s="1" customFormat="1" ht="21">
      <c r="A1" s="20" t="s">
        <v>0</v>
      </c>
      <c r="B1" s="21" t="s">
        <v>1</v>
      </c>
      <c r="C1" s="21" t="s">
        <v>2</v>
      </c>
      <c r="D1" s="21" t="s">
        <v>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</row>
    <row r="2" spans="1:239" ht="20">
      <c r="A2" s="31">
        <v>1</v>
      </c>
      <c r="B2" s="18" t="s">
        <v>173</v>
      </c>
      <c r="C2" s="18" t="s">
        <v>4</v>
      </c>
      <c r="D2" s="18" t="s">
        <v>45</v>
      </c>
      <c r="E2" s="3" t="b">
        <f>ISTEXT(VLOOKUP(B2,Draft!$D$3:$D$400,1,FALSE))</f>
        <v>0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39" ht="20">
      <c r="A3" s="31">
        <v>2</v>
      </c>
      <c r="B3" s="18" t="s">
        <v>161</v>
      </c>
      <c r="C3" s="18" t="s">
        <v>4</v>
      </c>
      <c r="D3" s="18" t="s">
        <v>66</v>
      </c>
      <c r="E3" s="3" t="b">
        <f>ISTEXT(VLOOKUP(B3,Draft!$D$3:$D$400,1,FALSE))</f>
        <v>0</v>
      </c>
      <c r="F3" s="2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39" ht="20">
      <c r="A4" s="31">
        <v>3</v>
      </c>
      <c r="B4" s="18" t="s">
        <v>29</v>
      </c>
      <c r="C4" s="18" t="s">
        <v>4</v>
      </c>
      <c r="D4" s="18" t="s">
        <v>63</v>
      </c>
      <c r="E4" s="3" t="b">
        <f>ISTEXT(VLOOKUP(B4,Draft!$D$3:$D$400,1,FALSE))</f>
        <v>0</v>
      </c>
      <c r="F4" s="29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39" ht="20">
      <c r="A5" s="31">
        <v>4</v>
      </c>
      <c r="B5" s="18" t="s">
        <v>9</v>
      </c>
      <c r="C5" s="18" t="s">
        <v>4</v>
      </c>
      <c r="D5" s="18" t="s">
        <v>10</v>
      </c>
      <c r="E5" s="3" t="b">
        <f>ISTEXT(VLOOKUP(B5,Draft!$D$3:$D$400,1,FALSE))</f>
        <v>0</v>
      </c>
      <c r="F5" s="29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39" ht="20">
      <c r="A6" s="31">
        <v>5</v>
      </c>
      <c r="B6" s="18" t="s">
        <v>6</v>
      </c>
      <c r="C6" s="18" t="s">
        <v>4</v>
      </c>
      <c r="D6" s="18" t="s">
        <v>7</v>
      </c>
      <c r="E6" s="3" t="b">
        <f>ISTEXT(VLOOKUP(B6,Draft!$D$3:$D$400,1,FALSE))</f>
        <v>0</v>
      </c>
      <c r="F6" s="29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39" ht="20">
      <c r="A7" s="31">
        <v>6</v>
      </c>
      <c r="B7" s="18" t="s">
        <v>158</v>
      </c>
      <c r="C7" s="18" t="s">
        <v>4</v>
      </c>
      <c r="D7" s="18" t="s">
        <v>59</v>
      </c>
      <c r="E7" s="3" t="b">
        <f>ISTEXT(VLOOKUP(B7,Draft!$D$3:$D$400,1,FALSE))</f>
        <v>0</v>
      </c>
      <c r="F7" s="2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39" ht="20">
      <c r="A8" s="31">
        <v>7</v>
      </c>
      <c r="B8" s="18" t="s">
        <v>163</v>
      </c>
      <c r="C8" s="18" t="s">
        <v>4</v>
      </c>
      <c r="D8" s="18" t="s">
        <v>68</v>
      </c>
      <c r="E8" s="3" t="b">
        <f>ISTEXT(VLOOKUP(B8,Draft!$D$3:$D$400,1,FALSE))</f>
        <v>0</v>
      </c>
      <c r="F8" s="29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39" ht="20">
      <c r="A9" s="31">
        <v>8</v>
      </c>
      <c r="B9" s="18" t="s">
        <v>157</v>
      </c>
      <c r="C9" s="18" t="s">
        <v>4</v>
      </c>
      <c r="D9" s="18" t="s">
        <v>69</v>
      </c>
      <c r="E9" s="3" t="b">
        <f>ISTEXT(VLOOKUP(B9,Draft!$D$3:$D$400,1,FALSE))</f>
        <v>0</v>
      </c>
      <c r="F9" s="2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39" ht="20">
      <c r="A10" s="31">
        <v>9</v>
      </c>
      <c r="B10" s="18" t="s">
        <v>174</v>
      </c>
      <c r="C10" s="18" t="s">
        <v>4</v>
      </c>
      <c r="D10" s="18" t="s">
        <v>61</v>
      </c>
      <c r="E10" s="3" t="b">
        <f>ISTEXT(VLOOKUP(B10,Draft!$D$3:$D$400,1,FALSE))</f>
        <v>0</v>
      </c>
      <c r="F10" s="29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39" ht="20">
      <c r="A11" s="31">
        <v>10</v>
      </c>
      <c r="B11" s="18" t="s">
        <v>67</v>
      </c>
      <c r="C11" s="18" t="s">
        <v>4</v>
      </c>
      <c r="D11" s="18" t="s">
        <v>165</v>
      </c>
      <c r="E11" s="3" t="b">
        <f>ISTEXT(VLOOKUP(B11,Draft!$D$3:$D$400,1,FALSE))</f>
        <v>0</v>
      </c>
      <c r="F11" s="2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39" ht="20">
      <c r="A12" s="31">
        <v>11</v>
      </c>
      <c r="B12" s="18" t="s">
        <v>36</v>
      </c>
      <c r="C12" s="18" t="s">
        <v>4</v>
      </c>
      <c r="D12" s="18" t="s">
        <v>61</v>
      </c>
      <c r="E12" s="3" t="b">
        <f>ISTEXT(VLOOKUP(B12,Draft!$D$3:$D$400,1,FALSE))</f>
        <v>0</v>
      </c>
      <c r="F12" s="29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39" ht="20">
      <c r="A13" s="31">
        <v>12</v>
      </c>
      <c r="B13" s="18" t="s">
        <v>27</v>
      </c>
      <c r="C13" s="18" t="s">
        <v>4</v>
      </c>
      <c r="D13" s="18" t="s">
        <v>61</v>
      </c>
      <c r="E13" s="3" t="b">
        <f>ISTEXT(VLOOKUP(B13,Draft!$D$3:$D$400,1,FALSE))</f>
        <v>0</v>
      </c>
      <c r="F13" s="2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39" ht="20">
      <c r="A14" s="31">
        <v>13</v>
      </c>
      <c r="B14" s="18" t="s">
        <v>175</v>
      </c>
      <c r="C14" s="18" t="s">
        <v>4</v>
      </c>
      <c r="D14" s="18" t="s">
        <v>64</v>
      </c>
      <c r="E14" s="3" t="b">
        <f>ISTEXT(VLOOKUP(B14,Draft!$D$3:$D$400,1,FALSE))</f>
        <v>0</v>
      </c>
      <c r="F14" s="29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39" ht="20">
      <c r="A15" s="31">
        <v>14</v>
      </c>
      <c r="B15" s="18" t="s">
        <v>176</v>
      </c>
      <c r="C15" s="18" t="s">
        <v>4</v>
      </c>
      <c r="D15" s="18" t="s">
        <v>5</v>
      </c>
      <c r="E15" s="3" t="b">
        <f>ISTEXT(VLOOKUP(B15,Draft!$D$3:$D$400,1,FALSE))</f>
        <v>0</v>
      </c>
      <c r="F15" s="2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39" ht="20">
      <c r="A16" s="31">
        <v>15</v>
      </c>
      <c r="B16" s="18" t="s">
        <v>177</v>
      </c>
      <c r="C16" s="18" t="s">
        <v>4</v>
      </c>
      <c r="D16" s="18" t="s">
        <v>52</v>
      </c>
      <c r="E16" s="3" t="b">
        <f>ISTEXT(VLOOKUP(B16,Draft!$D$3:$D$400,1,FALSE))</f>
        <v>0</v>
      </c>
      <c r="F16" s="29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">
      <c r="A17" s="31">
        <v>16</v>
      </c>
      <c r="B17" s="18" t="s">
        <v>33</v>
      </c>
      <c r="C17" s="18" t="s">
        <v>4</v>
      </c>
      <c r="D17" s="18" t="s">
        <v>65</v>
      </c>
      <c r="E17" s="3" t="b">
        <f>ISTEXT(VLOOKUP(B17,Draft!$D$3:$D$400,1,FALSE))</f>
        <v>0</v>
      </c>
      <c r="F17" s="2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">
      <c r="A18" s="31">
        <v>17</v>
      </c>
      <c r="B18" s="18" t="s">
        <v>30</v>
      </c>
      <c r="C18" s="18" t="s">
        <v>4</v>
      </c>
      <c r="D18" s="18" t="s">
        <v>53</v>
      </c>
      <c r="E18" s="3" t="b">
        <f>ISTEXT(VLOOKUP(B18,Draft!$D$3:$D$400,1,FALSE))</f>
        <v>0</v>
      </c>
      <c r="F18" s="29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">
      <c r="A19" s="31">
        <v>18</v>
      </c>
      <c r="B19" s="18" t="s">
        <v>42</v>
      </c>
      <c r="C19" s="18" t="s">
        <v>4</v>
      </c>
      <c r="D19" s="18" t="s">
        <v>52</v>
      </c>
      <c r="E19" s="3" t="b">
        <f>ISTEXT(VLOOKUP(B19,Draft!$D$3:$D$400,1,FALSE))</f>
        <v>0</v>
      </c>
      <c r="F19" s="2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">
      <c r="A20" s="31">
        <v>19</v>
      </c>
      <c r="B20" s="18" t="s">
        <v>41</v>
      </c>
      <c r="C20" s="18" t="s">
        <v>4</v>
      </c>
      <c r="D20" s="18" t="s">
        <v>17</v>
      </c>
      <c r="E20" s="3" t="b">
        <f>ISTEXT(VLOOKUP(B20,Draft!$D$3:$D$400,1,FALSE))</f>
        <v>0</v>
      </c>
      <c r="F20" s="29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">
      <c r="A21" s="31">
        <v>20</v>
      </c>
      <c r="B21" s="18" t="s">
        <v>178</v>
      </c>
      <c r="C21" s="18" t="s">
        <v>4</v>
      </c>
      <c r="D21" s="18" t="s">
        <v>10</v>
      </c>
      <c r="E21" s="3" t="b">
        <f>ISTEXT(VLOOKUP(B21,Draft!$D$3:$D$400,1,FALSE))</f>
        <v>0</v>
      </c>
      <c r="F21" s="2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">
      <c r="A22" s="31">
        <v>21</v>
      </c>
      <c r="B22" s="18" t="s">
        <v>160</v>
      </c>
      <c r="C22" s="18" t="s">
        <v>4</v>
      </c>
      <c r="D22" s="18" t="s">
        <v>49</v>
      </c>
      <c r="E22" s="3" t="b">
        <f>ISTEXT(VLOOKUP(B22,Draft!$D$3:$D$400,1,FALSE))</f>
        <v>0</v>
      </c>
      <c r="F22" s="29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">
      <c r="A23" s="31">
        <v>22</v>
      </c>
      <c r="B23" s="18" t="s">
        <v>179</v>
      </c>
      <c r="C23" s="18" t="s">
        <v>4</v>
      </c>
      <c r="D23" s="18" t="s">
        <v>56</v>
      </c>
      <c r="E23" s="3" t="b">
        <f>ISTEXT(VLOOKUP(B23,Draft!$D$3:$D$400,1,FALSE))</f>
        <v>0</v>
      </c>
      <c r="F23" s="2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">
      <c r="A24" s="31">
        <v>23</v>
      </c>
      <c r="B24" s="18" t="s">
        <v>8</v>
      </c>
      <c r="C24" s="18" t="s">
        <v>4</v>
      </c>
      <c r="D24" s="18" t="s">
        <v>165</v>
      </c>
      <c r="E24" s="3" t="b">
        <f>ISTEXT(VLOOKUP(B24,Draft!$D$3:$D$400,1,FALSE))</f>
        <v>0</v>
      </c>
      <c r="F24" s="29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20">
      <c r="A25" s="31">
        <v>24</v>
      </c>
      <c r="B25" s="18" t="s">
        <v>180</v>
      </c>
      <c r="C25" s="18" t="s">
        <v>4</v>
      </c>
      <c r="D25" s="18" t="s">
        <v>14</v>
      </c>
      <c r="E25" s="3" t="b">
        <f>ISTEXT(VLOOKUP(B25,Draft!$D$3:$D$400,1,FALSE))</f>
        <v>0</v>
      </c>
      <c r="F25" s="2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0">
      <c r="A26" s="31">
        <v>25</v>
      </c>
      <c r="B26" s="18" t="s">
        <v>40</v>
      </c>
      <c r="C26" s="18" t="s">
        <v>4</v>
      </c>
      <c r="D26" s="18" t="s">
        <v>66</v>
      </c>
      <c r="E26" s="3" t="b">
        <f>ISTEXT(VLOOKUP(B26,Draft!$D$3:$D$400,1,FALSE))</f>
        <v>0</v>
      </c>
      <c r="F26" s="29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ht="20">
      <c r="A27" s="31">
        <v>26</v>
      </c>
      <c r="B27" s="18" t="s">
        <v>162</v>
      </c>
      <c r="C27" s="18" t="s">
        <v>4</v>
      </c>
      <c r="D27" s="18" t="s">
        <v>59</v>
      </c>
      <c r="E27" s="3" t="b">
        <f>ISTEXT(VLOOKUP(B27,Draft!$D$3:$D$400,1,FALSE))</f>
        <v>0</v>
      </c>
      <c r="F27" s="29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ht="20">
      <c r="A28" s="31">
        <v>27</v>
      </c>
      <c r="B28" s="18" t="s">
        <v>159</v>
      </c>
      <c r="C28" s="18" t="s">
        <v>4</v>
      </c>
      <c r="D28" s="18" t="s">
        <v>55</v>
      </c>
      <c r="E28" s="3" t="b">
        <f>ISTEXT(VLOOKUP(B28,Draft!$D$3:$D$400,1,FALSE))</f>
        <v>0</v>
      </c>
      <c r="F28" s="29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ht="20">
      <c r="A29" s="31">
        <v>28</v>
      </c>
      <c r="B29" s="18" t="s">
        <v>16</v>
      </c>
      <c r="C29" s="18" t="s">
        <v>4</v>
      </c>
      <c r="D29" s="18" t="s">
        <v>17</v>
      </c>
      <c r="E29" s="3" t="b">
        <f>ISTEXT(VLOOKUP(B29,Draft!$D$3:$D$400,1,FALSE))</f>
        <v>0</v>
      </c>
      <c r="F29" s="2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ht="20">
      <c r="A30" s="31">
        <v>29</v>
      </c>
      <c r="B30" s="18" t="s">
        <v>13</v>
      </c>
      <c r="C30" s="18" t="s">
        <v>4</v>
      </c>
      <c r="D30" s="18" t="s">
        <v>14</v>
      </c>
      <c r="E30" s="3" t="b">
        <f>ISTEXT(VLOOKUP(B30,Draft!$D$3:$D$400,1,FALSE))</f>
        <v>0</v>
      </c>
      <c r="F30" s="29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ht="20">
      <c r="A31" s="31">
        <v>30</v>
      </c>
      <c r="B31" s="18" t="s">
        <v>181</v>
      </c>
      <c r="C31" s="18" t="s">
        <v>4</v>
      </c>
      <c r="D31" s="18" t="s">
        <v>55</v>
      </c>
      <c r="E31" s="3" t="b">
        <f>ISTEXT(VLOOKUP(B31,Draft!$D$3:$D$400,1,FALSE))</f>
        <v>0</v>
      </c>
      <c r="F31" s="29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ht="20">
      <c r="A32" s="31">
        <v>31</v>
      </c>
      <c r="B32" s="18" t="s">
        <v>28</v>
      </c>
      <c r="C32" s="18" t="s">
        <v>4</v>
      </c>
      <c r="D32" s="18" t="s">
        <v>51</v>
      </c>
      <c r="E32" s="3" t="b">
        <f>ISTEXT(VLOOKUP(B32,Draft!$D$3:$D$400,1,FALSE))</f>
        <v>0</v>
      </c>
      <c r="F32" s="29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:25" ht="20">
      <c r="A33" s="31">
        <v>32</v>
      </c>
      <c r="B33" s="18" t="s">
        <v>22</v>
      </c>
      <c r="C33" s="18" t="s">
        <v>4</v>
      </c>
      <c r="D33" s="18" t="s">
        <v>15</v>
      </c>
      <c r="E33" s="3" t="b">
        <f>ISTEXT(VLOOKUP(B33,Draft!$D$3:$D$400,1,FALSE))</f>
        <v>0</v>
      </c>
      <c r="F33" s="29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:25" ht="20">
      <c r="A34" s="31">
        <v>33</v>
      </c>
      <c r="B34" s="18" t="s">
        <v>43</v>
      </c>
      <c r="C34" s="18" t="s">
        <v>4</v>
      </c>
      <c r="D34" s="18" t="s">
        <v>69</v>
      </c>
      <c r="E34" s="3" t="b">
        <f>ISTEXT(VLOOKUP(B34,Draft!$D$3:$D$400,1,FALSE))</f>
        <v>0</v>
      </c>
      <c r="F34" s="2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20">
      <c r="A35" s="31">
        <v>34</v>
      </c>
      <c r="B35" s="18" t="s">
        <v>182</v>
      </c>
      <c r="C35" s="18" t="s">
        <v>4</v>
      </c>
      <c r="D35" s="18" t="s">
        <v>62</v>
      </c>
      <c r="E35" s="3" t="b">
        <f>ISTEXT(VLOOKUP(B35,Draft!$D$3:$D$400,1,FALSE))</f>
        <v>0</v>
      </c>
      <c r="F35" s="29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20">
      <c r="A36" s="31">
        <v>35</v>
      </c>
      <c r="B36" s="18" t="s">
        <v>183</v>
      </c>
      <c r="C36" s="18" t="s">
        <v>4</v>
      </c>
      <c r="D36" s="18" t="s">
        <v>57</v>
      </c>
      <c r="E36" s="3" t="b">
        <f>ISTEXT(VLOOKUP(B36,Draft!$D$3:$D$400,1,FALSE))</f>
        <v>0</v>
      </c>
      <c r="F36" s="29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20">
      <c r="A37" s="31">
        <v>36</v>
      </c>
      <c r="B37" s="18" t="s">
        <v>184</v>
      </c>
      <c r="C37" s="18" t="s">
        <v>4</v>
      </c>
      <c r="D37" s="18" t="s">
        <v>50</v>
      </c>
      <c r="E37" s="3" t="b">
        <f>ISTEXT(VLOOKUP(B37,Draft!$D$3:$D$400,1,FALSE))</f>
        <v>0</v>
      </c>
      <c r="F37" s="29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20">
      <c r="A38" s="31">
        <v>37</v>
      </c>
      <c r="B38" s="18" t="s">
        <v>155</v>
      </c>
      <c r="C38" s="18" t="s">
        <v>4</v>
      </c>
      <c r="D38" s="18" t="s">
        <v>62</v>
      </c>
      <c r="E38" s="3" t="b">
        <f>ISTEXT(VLOOKUP(B38,Draft!$D$3:$D$400,1,FALSE))</f>
        <v>0</v>
      </c>
      <c r="F38" s="29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ht="20">
      <c r="A39" s="31">
        <v>38</v>
      </c>
      <c r="B39" s="18" t="s">
        <v>185</v>
      </c>
      <c r="C39" s="18" t="s">
        <v>4</v>
      </c>
      <c r="D39" s="18" t="s">
        <v>68</v>
      </c>
      <c r="E39" s="3" t="b">
        <f>ISTEXT(VLOOKUP(B39,Draft!$D$3:$D$400,1,FALSE))</f>
        <v>0</v>
      </c>
      <c r="F39" s="29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:25" ht="20">
      <c r="A40" s="31">
        <v>39</v>
      </c>
      <c r="B40" s="18" t="s">
        <v>186</v>
      </c>
      <c r="C40" s="18" t="s">
        <v>4</v>
      </c>
      <c r="D40" s="18" t="s">
        <v>57</v>
      </c>
      <c r="E40" s="3" t="b">
        <f>ISTEXT(VLOOKUP(B40,Draft!$D$3:$D$400,1,FALSE))</f>
        <v>0</v>
      </c>
      <c r="F40" s="29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:25" ht="20">
      <c r="A41" s="31">
        <v>40</v>
      </c>
      <c r="B41" s="18" t="s">
        <v>187</v>
      </c>
      <c r="C41" s="18" t="s">
        <v>4</v>
      </c>
      <c r="D41" s="18" t="s">
        <v>51</v>
      </c>
      <c r="E41" s="3" t="b">
        <f>ISTEXT(VLOOKUP(B41,Draft!$D$3:$D$400,1,FALSE))</f>
        <v>0</v>
      </c>
      <c r="F41" s="29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:25" ht="20">
      <c r="A42" s="31">
        <v>41</v>
      </c>
      <c r="B42" s="18" t="s">
        <v>21</v>
      </c>
      <c r="C42" s="18" t="s">
        <v>4</v>
      </c>
      <c r="D42" s="18" t="s">
        <v>45</v>
      </c>
      <c r="E42" s="3" t="b">
        <f>ISTEXT(VLOOKUP(B42,Draft!$D$3:$D$400,1,FALSE))</f>
        <v>0</v>
      </c>
      <c r="F42" s="29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20">
      <c r="A43" s="31">
        <v>42</v>
      </c>
      <c r="B43" s="18" t="s">
        <v>188</v>
      </c>
      <c r="C43" s="18" t="s">
        <v>4</v>
      </c>
      <c r="D43" s="18" t="s">
        <v>48</v>
      </c>
      <c r="E43" s="3" t="b">
        <f>ISTEXT(VLOOKUP(B43,Draft!$D$3:$D$400,1,FALSE))</f>
        <v>0</v>
      </c>
      <c r="F43" s="29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20">
      <c r="A44" s="31">
        <v>43</v>
      </c>
      <c r="B44" s="18" t="s">
        <v>189</v>
      </c>
      <c r="C44" s="18" t="s">
        <v>4</v>
      </c>
      <c r="D44" s="18" t="s">
        <v>15</v>
      </c>
      <c r="E44" s="3" t="b">
        <f>ISTEXT(VLOOKUP(B44,Draft!$D$3:$D$400,1,FALSE))</f>
        <v>0</v>
      </c>
      <c r="F44" s="29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20">
      <c r="A45" s="31">
        <v>44</v>
      </c>
      <c r="B45" s="18" t="s">
        <v>31</v>
      </c>
      <c r="C45" s="18" t="s">
        <v>4</v>
      </c>
      <c r="D45" s="18" t="s">
        <v>54</v>
      </c>
      <c r="E45" s="3" t="b">
        <f>ISTEXT(VLOOKUP(B45,Draft!$D$3:$D$400,1,FALSE))</f>
        <v>0</v>
      </c>
      <c r="F45" s="29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20">
      <c r="A46" s="31">
        <v>45</v>
      </c>
      <c r="B46" s="18" t="s">
        <v>34</v>
      </c>
      <c r="C46" s="18" t="s">
        <v>4</v>
      </c>
      <c r="D46" s="18" t="s">
        <v>58</v>
      </c>
      <c r="E46" s="3" t="b">
        <f>ISTEXT(VLOOKUP(B46,Draft!$D$3:$D$400,1,FALSE))</f>
        <v>0</v>
      </c>
      <c r="F46" s="29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20">
      <c r="A47" s="31">
        <v>46</v>
      </c>
      <c r="B47" s="18" t="s">
        <v>11</v>
      </c>
      <c r="C47" s="18" t="s">
        <v>4</v>
      </c>
      <c r="D47" s="18" t="s">
        <v>12</v>
      </c>
      <c r="E47" s="3" t="b">
        <f>ISTEXT(VLOOKUP(B47,Draft!$D$3:$D$400,1,FALSE))</f>
        <v>0</v>
      </c>
      <c r="F47" s="29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20">
      <c r="A48" s="31">
        <v>47</v>
      </c>
      <c r="B48" s="18" t="s">
        <v>32</v>
      </c>
      <c r="C48" s="18" t="s">
        <v>4</v>
      </c>
      <c r="D48" s="18" t="s">
        <v>56</v>
      </c>
      <c r="E48" s="3" t="b">
        <f>ISTEXT(VLOOKUP(B48,Draft!$D$3:$D$400,1,FALSE))</f>
        <v>0</v>
      </c>
      <c r="F48" s="29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20">
      <c r="A49" s="31">
        <v>48</v>
      </c>
      <c r="B49" s="18" t="s">
        <v>24</v>
      </c>
      <c r="C49" s="18" t="s">
        <v>4</v>
      </c>
      <c r="D49" s="18" t="s">
        <v>47</v>
      </c>
      <c r="E49" s="3" t="b">
        <f>ISTEXT(VLOOKUP(B49,Draft!$D$3:$D$400,1,FALSE))</f>
        <v>0</v>
      </c>
      <c r="F49" s="29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ht="20">
      <c r="A50" s="31">
        <v>49</v>
      </c>
      <c r="B50" s="18" t="s">
        <v>23</v>
      </c>
      <c r="C50" s="18" t="s">
        <v>4</v>
      </c>
      <c r="D50" s="18" t="s">
        <v>46</v>
      </c>
      <c r="E50" s="3" t="b">
        <f>ISTEXT(VLOOKUP(B50,Draft!$D$3:$D$400,1,FALSE))</f>
        <v>0</v>
      </c>
      <c r="F50" s="29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ht="20">
      <c r="A51" s="31">
        <v>50</v>
      </c>
      <c r="B51" s="18" t="s">
        <v>39</v>
      </c>
      <c r="C51" s="18" t="s">
        <v>4</v>
      </c>
      <c r="D51" s="18" t="s">
        <v>63</v>
      </c>
      <c r="E51" s="3" t="b">
        <f>ISTEXT(VLOOKUP(B51,Draft!$D$3:$D$400,1,FALSE))</f>
        <v>0</v>
      </c>
      <c r="F51" s="29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20">
      <c r="A52" s="31">
        <v>51</v>
      </c>
      <c r="B52" s="18" t="s">
        <v>156</v>
      </c>
      <c r="C52" s="18" t="s">
        <v>4</v>
      </c>
      <c r="D52" s="18" t="s">
        <v>53</v>
      </c>
      <c r="E52" s="3" t="b">
        <f>ISTEXT(VLOOKUP(B52,Draft!$D$3:$D$400,1,FALSE))</f>
        <v>0</v>
      </c>
      <c r="F52" s="29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20">
      <c r="A53" s="31">
        <v>52</v>
      </c>
      <c r="B53" s="18" t="s">
        <v>38</v>
      </c>
      <c r="C53" s="18" t="s">
        <v>4</v>
      </c>
      <c r="D53" s="18" t="s">
        <v>64</v>
      </c>
      <c r="E53" s="3" t="b">
        <f>ISTEXT(VLOOKUP(B53,Draft!$D$3:$D$400,1,FALSE))</f>
        <v>0</v>
      </c>
      <c r="F53" s="29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20">
      <c r="A54" s="31">
        <v>53</v>
      </c>
      <c r="B54" s="18" t="s">
        <v>44</v>
      </c>
      <c r="C54" s="18" t="s">
        <v>4</v>
      </c>
      <c r="D54" s="18" t="s">
        <v>65</v>
      </c>
      <c r="E54" s="3" t="b">
        <f>ISTEXT(VLOOKUP(B54,Draft!$D$3:$D$400,1,FALSE))</f>
        <v>0</v>
      </c>
      <c r="F54" s="29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ht="20">
      <c r="A55" s="31">
        <v>54</v>
      </c>
      <c r="B55" s="18" t="s">
        <v>25</v>
      </c>
      <c r="C55" s="18" t="s">
        <v>4</v>
      </c>
      <c r="D55" s="18" t="s">
        <v>48</v>
      </c>
      <c r="E55" s="3" t="b">
        <f>ISTEXT(VLOOKUP(B55,Draft!$D$3:$D$400,1,FALSE))</f>
        <v>0</v>
      </c>
      <c r="F55" s="29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ht="20">
      <c r="A56" s="31">
        <v>55</v>
      </c>
      <c r="B56" s="18" t="s">
        <v>190</v>
      </c>
      <c r="C56" s="18" t="s">
        <v>4</v>
      </c>
      <c r="D56" s="18" t="s">
        <v>54</v>
      </c>
      <c r="E56" s="3" t="b">
        <f>ISTEXT(VLOOKUP(B56,Draft!$D$3:$D$400,1,FALSE))</f>
        <v>0</v>
      </c>
      <c r="F56" s="29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ht="20">
      <c r="A57" s="31">
        <v>56</v>
      </c>
      <c r="B57" s="18" t="s">
        <v>35</v>
      </c>
      <c r="C57" s="18" t="s">
        <v>4</v>
      </c>
      <c r="D57" s="18" t="s">
        <v>60</v>
      </c>
      <c r="E57" s="3" t="b">
        <f>ISTEXT(VLOOKUP(B57,Draft!$D$3:$D$400,1,FALSE))</f>
        <v>0</v>
      </c>
      <c r="F57" s="29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ht="20">
      <c r="A58" s="31">
        <v>57</v>
      </c>
      <c r="B58" s="18" t="s">
        <v>191</v>
      </c>
      <c r="C58" s="18" t="s">
        <v>4</v>
      </c>
      <c r="D58" s="18" t="s">
        <v>12</v>
      </c>
      <c r="E58" s="3" t="b">
        <f>ISTEXT(VLOOKUP(B58,Draft!$D$3:$D$400,1,FALSE))</f>
        <v>0</v>
      </c>
      <c r="F58" s="29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ht="20">
      <c r="A59" s="31">
        <v>58</v>
      </c>
      <c r="B59" s="18" t="s">
        <v>37</v>
      </c>
      <c r="C59" s="18" t="s">
        <v>4</v>
      </c>
      <c r="D59" s="18" t="s">
        <v>47</v>
      </c>
      <c r="E59" s="3" t="b">
        <f>ISTEXT(VLOOKUP(B59,Draft!$D$3:$D$400,1,FALSE))</f>
        <v>0</v>
      </c>
      <c r="F59" s="29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 ht="20">
      <c r="A60" s="31">
        <v>59</v>
      </c>
      <c r="B60" s="18" t="s">
        <v>26</v>
      </c>
      <c r="C60" s="18" t="s">
        <v>4</v>
      </c>
      <c r="D60" s="18" t="s">
        <v>5</v>
      </c>
      <c r="E60" s="3" t="b">
        <f>ISTEXT(VLOOKUP(B60,Draft!$D$3:$D$400,1,FALSE))</f>
        <v>0</v>
      </c>
      <c r="F60" s="29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 ht="20">
      <c r="A61" s="31">
        <v>60</v>
      </c>
      <c r="B61" s="18" t="s">
        <v>192</v>
      </c>
      <c r="C61" s="18" t="s">
        <v>4</v>
      </c>
      <c r="D61" s="18" t="s">
        <v>49</v>
      </c>
      <c r="E61" s="3" t="b">
        <f>ISTEXT(VLOOKUP(B61,Draft!$D$3:$D$400,1,FALSE))</f>
        <v>0</v>
      </c>
      <c r="F61" s="29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 ht="20">
      <c r="A62" s="31">
        <v>61</v>
      </c>
      <c r="B62" s="18" t="s">
        <v>193</v>
      </c>
      <c r="C62" s="18" t="s">
        <v>4</v>
      </c>
      <c r="D62" s="18" t="s">
        <v>58</v>
      </c>
      <c r="E62" s="3" t="b">
        <f>ISTEXT(VLOOKUP(B62,Draft!$D$3:$D$400,1,FALSE))</f>
        <v>0</v>
      </c>
      <c r="F62" s="29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 ht="20">
      <c r="A63" s="31">
        <v>62</v>
      </c>
      <c r="B63" s="18" t="s">
        <v>194</v>
      </c>
      <c r="C63" s="18" t="s">
        <v>4</v>
      </c>
      <c r="D63" s="18" t="s">
        <v>7</v>
      </c>
      <c r="E63" s="3" t="b">
        <f>ISTEXT(VLOOKUP(B63,Draft!$D$3:$D$400,1,FALSE))</f>
        <v>0</v>
      </c>
      <c r="F63" s="29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 ht="20">
      <c r="A64" s="31">
        <v>63</v>
      </c>
      <c r="B64" s="18" t="s">
        <v>195</v>
      </c>
      <c r="C64" s="18" t="s">
        <v>4</v>
      </c>
      <c r="D64" s="18" t="s">
        <v>60</v>
      </c>
      <c r="E64" s="3" t="b">
        <f>ISTEXT(VLOOKUP(B64,Draft!$D$3:$D$400,1,FALSE))</f>
        <v>0</v>
      </c>
      <c r="F64" s="29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 ht="20">
      <c r="A65" s="31">
        <v>64</v>
      </c>
      <c r="B65" s="18" t="s">
        <v>196</v>
      </c>
      <c r="C65" s="18" t="s">
        <v>4</v>
      </c>
      <c r="D65" s="18" t="s">
        <v>46</v>
      </c>
      <c r="E65" s="3" t="b">
        <f>ISTEXT(VLOOKUP(B65,Draft!$D$3:$D$400,1,FALSE))</f>
        <v>0</v>
      </c>
      <c r="F65" s="29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 ht="20">
      <c r="A66" s="31">
        <v>65</v>
      </c>
      <c r="B66" s="18" t="s">
        <v>197</v>
      </c>
      <c r="C66" s="18" t="s">
        <v>72</v>
      </c>
      <c r="D66" s="18" t="s">
        <v>14</v>
      </c>
      <c r="E66" s="3" t="b">
        <f>ISTEXT(VLOOKUP(B66,Draft!$D$3:$D$400,1,FALSE))</f>
        <v>0</v>
      </c>
      <c r="F66" s="29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 ht="20">
      <c r="A67" s="31">
        <v>66</v>
      </c>
      <c r="B67" s="18" t="s">
        <v>198</v>
      </c>
      <c r="C67" s="18" t="s">
        <v>72</v>
      </c>
      <c r="D67" s="18" t="s">
        <v>51</v>
      </c>
      <c r="E67" s="3" t="b">
        <f>ISTEXT(VLOOKUP(B67,Draft!$D$3:$D$400,1,FALSE))</f>
        <v>0</v>
      </c>
      <c r="F67" s="29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 ht="20">
      <c r="A68" s="31">
        <v>67</v>
      </c>
      <c r="B68" s="18" t="s">
        <v>199</v>
      </c>
      <c r="C68" s="18" t="s">
        <v>72</v>
      </c>
      <c r="D68" s="18" t="s">
        <v>62</v>
      </c>
      <c r="E68" s="3" t="b">
        <f>ISTEXT(VLOOKUP(B68,Draft!$D$3:$D$400,1,FALSE))</f>
        <v>0</v>
      </c>
      <c r="F68" s="29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 ht="20">
      <c r="A69" s="31">
        <v>68</v>
      </c>
      <c r="B69" s="18" t="s">
        <v>200</v>
      </c>
      <c r="C69" s="18" t="s">
        <v>72</v>
      </c>
      <c r="D69" s="18" t="s">
        <v>61</v>
      </c>
      <c r="E69" s="3" t="b">
        <f>ISTEXT(VLOOKUP(B69,Draft!$D$3:$D$400,1,FALSE))</f>
        <v>0</v>
      </c>
      <c r="F69" s="29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 ht="20">
      <c r="A70" s="31">
        <v>69</v>
      </c>
      <c r="B70" s="18" t="s">
        <v>201</v>
      </c>
      <c r="C70" s="18" t="s">
        <v>72</v>
      </c>
      <c r="D70" s="18" t="s">
        <v>60</v>
      </c>
      <c r="E70" s="3" t="b">
        <f>ISTEXT(VLOOKUP(B70,Draft!$D$3:$D$400,1,FALSE))</f>
        <v>0</v>
      </c>
      <c r="F70" s="29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 ht="20">
      <c r="A71" s="31">
        <v>70</v>
      </c>
      <c r="B71" s="18" t="s">
        <v>202</v>
      </c>
      <c r="C71" s="18" t="s">
        <v>72</v>
      </c>
      <c r="D71" s="18" t="s">
        <v>63</v>
      </c>
      <c r="E71" s="3" t="b">
        <f>ISTEXT(VLOOKUP(B71,Draft!$D$3:$D$400,1,FALSE))</f>
        <v>0</v>
      </c>
      <c r="F71" s="29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 ht="20">
      <c r="A72" s="31">
        <v>71</v>
      </c>
      <c r="B72" s="18" t="s">
        <v>203</v>
      </c>
      <c r="C72" s="18" t="s">
        <v>72</v>
      </c>
      <c r="D72" s="18" t="s">
        <v>10</v>
      </c>
      <c r="E72" s="3" t="b">
        <f>ISTEXT(VLOOKUP(B72,Draft!$D$3:$D$400,1,FALSE))</f>
        <v>0</v>
      </c>
      <c r="F72" s="29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 ht="20">
      <c r="A73" s="31">
        <v>72</v>
      </c>
      <c r="B73" s="18" t="s">
        <v>204</v>
      </c>
      <c r="C73" s="18" t="s">
        <v>72</v>
      </c>
      <c r="D73" s="18" t="s">
        <v>69</v>
      </c>
      <c r="E73" s="3" t="b">
        <f>ISTEXT(VLOOKUP(B73,Draft!$D$3:$D$400,1,FALSE))</f>
        <v>0</v>
      </c>
      <c r="F73" s="29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 ht="20">
      <c r="A74" s="31">
        <v>73</v>
      </c>
      <c r="B74" s="18" t="s">
        <v>205</v>
      </c>
      <c r="C74" s="18" t="s">
        <v>72</v>
      </c>
      <c r="D74" s="18" t="s">
        <v>52</v>
      </c>
      <c r="E74" s="3" t="b">
        <f>ISTEXT(VLOOKUP(B74,Draft!$D$3:$D$400,1,FALSE))</f>
        <v>0</v>
      </c>
      <c r="F74" s="29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 ht="20">
      <c r="A75" s="31">
        <v>74</v>
      </c>
      <c r="B75" s="18" t="s">
        <v>206</v>
      </c>
      <c r="C75" s="18" t="s">
        <v>72</v>
      </c>
      <c r="D75" s="18" t="s">
        <v>65</v>
      </c>
      <c r="E75" s="3" t="b">
        <f>ISTEXT(VLOOKUP(B75,Draft!$D$3:$D$400,1,FALSE))</f>
        <v>0</v>
      </c>
      <c r="F75" s="29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 ht="20">
      <c r="A76" s="31">
        <v>75</v>
      </c>
      <c r="B76" s="18" t="s">
        <v>207</v>
      </c>
      <c r="C76" s="18" t="s">
        <v>72</v>
      </c>
      <c r="D76" s="18" t="s">
        <v>15</v>
      </c>
      <c r="E76" s="3" t="b">
        <f>ISTEXT(VLOOKUP(B76,Draft!$D$3:$D$400,1,FALSE))</f>
        <v>0</v>
      </c>
      <c r="F76" s="29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 ht="20">
      <c r="A77" s="31">
        <v>76</v>
      </c>
      <c r="B77" s="18" t="s">
        <v>208</v>
      </c>
      <c r="C77" s="18" t="s">
        <v>72</v>
      </c>
      <c r="D77" s="18" t="s">
        <v>17</v>
      </c>
      <c r="E77" s="3" t="b">
        <f>ISTEXT(VLOOKUP(B77,Draft!$D$3:$D$400,1,FALSE))</f>
        <v>0</v>
      </c>
      <c r="F77" s="29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 ht="20">
      <c r="A78" s="31">
        <v>77</v>
      </c>
      <c r="B78" s="18" t="s">
        <v>209</v>
      </c>
      <c r="C78" s="18" t="s">
        <v>72</v>
      </c>
      <c r="D78" s="18" t="s">
        <v>45</v>
      </c>
      <c r="E78" s="3" t="b">
        <f>ISTEXT(VLOOKUP(B78,Draft!$D$3:$D$400,1,FALSE))</f>
        <v>0</v>
      </c>
      <c r="F78" s="29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 ht="20">
      <c r="A79" s="31">
        <v>78</v>
      </c>
      <c r="B79" s="18" t="s">
        <v>210</v>
      </c>
      <c r="C79" s="18" t="s">
        <v>72</v>
      </c>
      <c r="D79" s="18" t="s">
        <v>51</v>
      </c>
      <c r="E79" s="3" t="b">
        <f>ISTEXT(VLOOKUP(B79,Draft!$D$3:$D$400,1,FALSE))</f>
        <v>0</v>
      </c>
      <c r="F79" s="29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 ht="20">
      <c r="A80" s="31">
        <v>79</v>
      </c>
      <c r="B80" s="18" t="s">
        <v>211</v>
      </c>
      <c r="C80" s="18" t="s">
        <v>72</v>
      </c>
      <c r="D80" s="18" t="s">
        <v>48</v>
      </c>
      <c r="E80" s="3" t="b">
        <f>ISTEXT(VLOOKUP(B80,Draft!$D$3:$D$400,1,FALSE))</f>
        <v>0</v>
      </c>
      <c r="F80" s="29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 ht="20">
      <c r="A81" s="31">
        <v>80</v>
      </c>
      <c r="B81" s="18" t="s">
        <v>212</v>
      </c>
      <c r="C81" s="18" t="s">
        <v>72</v>
      </c>
      <c r="D81" s="18" t="s">
        <v>50</v>
      </c>
      <c r="E81" s="3" t="b">
        <f>ISTEXT(VLOOKUP(B81,Draft!$D$3:$D$400,1,FALSE))</f>
        <v>0</v>
      </c>
      <c r="F81" s="29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 ht="20">
      <c r="A82" s="31">
        <v>81</v>
      </c>
      <c r="B82" s="18" t="s">
        <v>213</v>
      </c>
      <c r="C82" s="18" t="s">
        <v>72</v>
      </c>
      <c r="D82" s="18" t="s">
        <v>63</v>
      </c>
      <c r="E82" s="3" t="b">
        <f>ISTEXT(VLOOKUP(B82,Draft!$D$3:$D$400,1,FALSE))</f>
        <v>0</v>
      </c>
      <c r="F82" s="29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 ht="20">
      <c r="A83" s="31">
        <v>82</v>
      </c>
      <c r="B83" s="18" t="s">
        <v>214</v>
      </c>
      <c r="C83" s="18" t="s">
        <v>72</v>
      </c>
      <c r="D83" s="18" t="s">
        <v>47</v>
      </c>
      <c r="E83" s="3" t="b">
        <f>ISTEXT(VLOOKUP(B83,Draft!$D$3:$D$400,1,FALSE))</f>
        <v>0</v>
      </c>
      <c r="F83" s="29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 ht="20">
      <c r="A84" s="31">
        <v>83</v>
      </c>
      <c r="B84" s="18" t="s">
        <v>215</v>
      </c>
      <c r="C84" s="18" t="s">
        <v>72</v>
      </c>
      <c r="D84" s="18" t="s">
        <v>57</v>
      </c>
      <c r="E84" s="3" t="b">
        <f>ISTEXT(VLOOKUP(B84,Draft!$D$3:$D$400,1,FALSE))</f>
        <v>0</v>
      </c>
      <c r="F84" s="29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 ht="20">
      <c r="A85" s="31">
        <v>84</v>
      </c>
      <c r="B85" s="18" t="s">
        <v>216</v>
      </c>
      <c r="C85" s="18" t="s">
        <v>72</v>
      </c>
      <c r="D85" s="18" t="s">
        <v>51</v>
      </c>
      <c r="E85" s="3" t="b">
        <f>ISTEXT(VLOOKUP(B85,Draft!$D$3:$D$400,1,FALSE))</f>
        <v>0</v>
      </c>
      <c r="F85" s="2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 ht="20">
      <c r="A86" s="31">
        <v>85</v>
      </c>
      <c r="B86" s="18" t="s">
        <v>217</v>
      </c>
      <c r="C86" s="18" t="s">
        <v>72</v>
      </c>
      <c r="D86" s="18" t="s">
        <v>54</v>
      </c>
      <c r="E86" s="3" t="b">
        <f>ISTEXT(VLOOKUP(B86,Draft!$D$3:$D$400,1,FALSE))</f>
        <v>0</v>
      </c>
      <c r="F86" s="29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ht="20">
      <c r="A87" s="31">
        <v>86</v>
      </c>
      <c r="B87" s="18" t="s">
        <v>218</v>
      </c>
      <c r="C87" s="18" t="s">
        <v>72</v>
      </c>
      <c r="D87" s="18" t="s">
        <v>14</v>
      </c>
      <c r="E87" s="3" t="b">
        <f>ISTEXT(VLOOKUP(B87,Draft!$D$3:$D$400,1,FALSE))</f>
        <v>0</v>
      </c>
      <c r="F87" s="29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ht="20">
      <c r="A88" s="31">
        <v>87</v>
      </c>
      <c r="B88" s="18" t="s">
        <v>219</v>
      </c>
      <c r="C88" s="18" t="s">
        <v>72</v>
      </c>
      <c r="D88" s="18" t="s">
        <v>58</v>
      </c>
      <c r="E88" s="3" t="b">
        <f>ISTEXT(VLOOKUP(B88,Draft!$D$3:$D$400,1,FALSE))</f>
        <v>0</v>
      </c>
      <c r="F88" s="29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ht="20">
      <c r="A89" s="31">
        <v>88</v>
      </c>
      <c r="B89" s="18" t="s">
        <v>220</v>
      </c>
      <c r="C89" s="18" t="s">
        <v>72</v>
      </c>
      <c r="D89" s="18" t="s">
        <v>53</v>
      </c>
      <c r="E89" s="3" t="b">
        <f>ISTEXT(VLOOKUP(B89,Draft!$D$3:$D$400,1,FALSE))</f>
        <v>0</v>
      </c>
      <c r="F89" s="29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ht="20">
      <c r="A90" s="31">
        <v>89</v>
      </c>
      <c r="B90" s="18" t="s">
        <v>221</v>
      </c>
      <c r="C90" s="18" t="s">
        <v>72</v>
      </c>
      <c r="D90" s="18" t="s">
        <v>55</v>
      </c>
      <c r="E90" s="3" t="b">
        <f>ISTEXT(VLOOKUP(B90,Draft!$D$3:$D$400,1,FALSE))</f>
        <v>0</v>
      </c>
      <c r="F90" s="29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ht="20">
      <c r="A91" s="31">
        <v>90</v>
      </c>
      <c r="B91" s="18" t="s">
        <v>222</v>
      </c>
      <c r="C91" s="18" t="s">
        <v>72</v>
      </c>
      <c r="D91" s="18" t="s">
        <v>5</v>
      </c>
      <c r="E91" s="3" t="b">
        <f>ISTEXT(VLOOKUP(B91,Draft!$D$3:$D$400,1,FALSE))</f>
        <v>0</v>
      </c>
      <c r="F91" s="29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ht="20">
      <c r="A92" s="31">
        <v>91</v>
      </c>
      <c r="B92" s="18" t="s">
        <v>223</v>
      </c>
      <c r="C92" s="18" t="s">
        <v>72</v>
      </c>
      <c r="D92" s="18" t="s">
        <v>58</v>
      </c>
      <c r="E92" s="3" t="b">
        <f>ISTEXT(VLOOKUP(B92,Draft!$D$3:$D$400,1,FALSE))</f>
        <v>0</v>
      </c>
      <c r="F92" s="29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ht="20">
      <c r="A93" s="31">
        <v>92</v>
      </c>
      <c r="B93" s="18" t="s">
        <v>224</v>
      </c>
      <c r="C93" s="18" t="s">
        <v>72</v>
      </c>
      <c r="D93" s="18" t="s">
        <v>15</v>
      </c>
      <c r="E93" s="3" t="b">
        <f>ISTEXT(VLOOKUP(B93,Draft!$D$3:$D$400,1,FALSE))</f>
        <v>0</v>
      </c>
      <c r="F93" s="2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ht="20">
      <c r="A94" s="31">
        <v>93</v>
      </c>
      <c r="B94" s="18" t="s">
        <v>225</v>
      </c>
      <c r="C94" s="18" t="s">
        <v>72</v>
      </c>
      <c r="D94" s="18" t="s">
        <v>55</v>
      </c>
      <c r="E94" s="3" t="b">
        <f>ISTEXT(VLOOKUP(B94,Draft!$D$3:$D$400,1,FALSE))</f>
        <v>0</v>
      </c>
      <c r="F94" s="29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ht="20">
      <c r="A95" s="31">
        <v>94</v>
      </c>
      <c r="B95" s="18" t="s">
        <v>226</v>
      </c>
      <c r="C95" s="18" t="s">
        <v>72</v>
      </c>
      <c r="D95" s="18" t="s">
        <v>10</v>
      </c>
      <c r="E95" s="3" t="b">
        <f>ISTEXT(VLOOKUP(B95,Draft!$D$3:$D$400,1,FALSE))</f>
        <v>0</v>
      </c>
      <c r="F95" s="29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ht="20">
      <c r="A96" s="31">
        <v>95</v>
      </c>
      <c r="B96" s="18" t="s">
        <v>227</v>
      </c>
      <c r="C96" s="18" t="s">
        <v>72</v>
      </c>
      <c r="D96" s="18" t="s">
        <v>7</v>
      </c>
      <c r="E96" s="3" t="b">
        <f>ISTEXT(VLOOKUP(B96,Draft!$D$3:$D$400,1,FALSE))</f>
        <v>0</v>
      </c>
      <c r="F96" s="29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ht="20">
      <c r="A97" s="31">
        <v>96</v>
      </c>
      <c r="B97" s="18" t="s">
        <v>228</v>
      </c>
      <c r="C97" s="18" t="s">
        <v>72</v>
      </c>
      <c r="D97" s="18" t="s">
        <v>62</v>
      </c>
      <c r="E97" s="3" t="b">
        <f>ISTEXT(VLOOKUP(B97,Draft!$D$3:$D$400,1,FALSE))</f>
        <v>0</v>
      </c>
      <c r="F97" s="29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ht="20">
      <c r="A98" s="31">
        <v>97</v>
      </c>
      <c r="B98" s="18" t="s">
        <v>229</v>
      </c>
      <c r="C98" s="18" t="s">
        <v>72</v>
      </c>
      <c r="D98" s="18" t="s">
        <v>64</v>
      </c>
      <c r="E98" s="3" t="b">
        <f>ISTEXT(VLOOKUP(B98,Draft!$D$3:$D$400,1,FALSE))</f>
        <v>0</v>
      </c>
      <c r="F98" s="29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ht="20">
      <c r="A99" s="31">
        <v>98</v>
      </c>
      <c r="B99" s="18" t="s">
        <v>230</v>
      </c>
      <c r="C99" s="18" t="s">
        <v>72</v>
      </c>
      <c r="D99" s="18" t="s">
        <v>52</v>
      </c>
      <c r="E99" s="3" t="b">
        <f>ISTEXT(VLOOKUP(B99,Draft!$D$3:$D$400,1,FALSE))</f>
        <v>0</v>
      </c>
      <c r="F99" s="29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ht="20">
      <c r="A100" s="31">
        <v>99</v>
      </c>
      <c r="B100" s="18" t="s">
        <v>231</v>
      </c>
      <c r="C100" s="18" t="s">
        <v>72</v>
      </c>
      <c r="D100" s="18" t="s">
        <v>50</v>
      </c>
      <c r="E100" s="3" t="b">
        <f>ISTEXT(VLOOKUP(B100,Draft!$D$3:$D$400,1,FALSE))</f>
        <v>0</v>
      </c>
      <c r="F100" s="29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ht="20">
      <c r="A101" s="31">
        <v>100</v>
      </c>
      <c r="B101" s="18" t="s">
        <v>232</v>
      </c>
      <c r="C101" s="18" t="s">
        <v>72</v>
      </c>
      <c r="D101" s="18" t="s">
        <v>66</v>
      </c>
      <c r="E101" s="3" t="b">
        <f>ISTEXT(VLOOKUP(B101,Draft!$D$3:$D$400,1,FALSE))</f>
        <v>0</v>
      </c>
      <c r="F101" s="29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ht="20">
      <c r="A102" s="31">
        <v>101</v>
      </c>
      <c r="B102" s="18" t="s">
        <v>233</v>
      </c>
      <c r="C102" s="18" t="s">
        <v>72</v>
      </c>
      <c r="D102" s="18" t="s">
        <v>17</v>
      </c>
      <c r="E102" s="3" t="b">
        <f>ISTEXT(VLOOKUP(B102,Draft!$D$3:$D$400,1,FALSE))</f>
        <v>0</v>
      </c>
      <c r="F102" s="29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ht="20">
      <c r="A103" s="31">
        <v>102</v>
      </c>
      <c r="B103" s="18" t="s">
        <v>234</v>
      </c>
      <c r="C103" s="18" t="s">
        <v>72</v>
      </c>
      <c r="D103" s="18" t="s">
        <v>56</v>
      </c>
      <c r="E103" s="3" t="b">
        <f>ISTEXT(VLOOKUP(B103,Draft!$D$3:$D$400,1,FALSE))</f>
        <v>0</v>
      </c>
      <c r="F103" s="29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ht="20">
      <c r="A104" s="31">
        <v>103</v>
      </c>
      <c r="B104" s="18" t="s">
        <v>235</v>
      </c>
      <c r="C104" s="18" t="s">
        <v>72</v>
      </c>
      <c r="D104" s="18" t="s">
        <v>46</v>
      </c>
      <c r="E104" s="3" t="b">
        <f>ISTEXT(VLOOKUP(B104,Draft!$D$3:$D$400,1,FALSE))</f>
        <v>0</v>
      </c>
      <c r="F104" s="29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ht="20">
      <c r="A105" s="31">
        <v>104</v>
      </c>
      <c r="B105" s="18" t="s">
        <v>236</v>
      </c>
      <c r="C105" s="18" t="s">
        <v>72</v>
      </c>
      <c r="D105" s="18" t="s">
        <v>49</v>
      </c>
      <c r="E105" s="3" t="b">
        <f>ISTEXT(VLOOKUP(B105,Draft!$D$3:$D$400,1,FALSE))</f>
        <v>0</v>
      </c>
      <c r="F105" s="29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ht="20">
      <c r="A106" s="31">
        <v>105</v>
      </c>
      <c r="B106" s="18" t="s">
        <v>237</v>
      </c>
      <c r="C106" s="18" t="s">
        <v>72</v>
      </c>
      <c r="D106" s="18" t="s">
        <v>54</v>
      </c>
      <c r="E106" s="3" t="b">
        <f>ISTEXT(VLOOKUP(B106,Draft!$D$3:$D$400,1,FALSE))</f>
        <v>0</v>
      </c>
      <c r="F106" s="29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ht="20">
      <c r="A107" s="31">
        <v>106</v>
      </c>
      <c r="B107" s="18" t="s">
        <v>238</v>
      </c>
      <c r="C107" s="18" t="s">
        <v>72</v>
      </c>
      <c r="D107" s="18" t="s">
        <v>45</v>
      </c>
      <c r="E107" s="3" t="b">
        <f>ISTEXT(VLOOKUP(B107,Draft!$D$3:$D$400,1,FALSE))</f>
        <v>0</v>
      </c>
      <c r="F107" s="29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ht="20">
      <c r="A108" s="31">
        <v>107</v>
      </c>
      <c r="B108" s="18" t="s">
        <v>239</v>
      </c>
      <c r="C108" s="18" t="s">
        <v>72</v>
      </c>
      <c r="D108" s="18" t="s">
        <v>165</v>
      </c>
      <c r="E108" s="3" t="b">
        <f>ISTEXT(VLOOKUP(B108,Draft!$D$3:$D$400,1,FALSE))</f>
        <v>0</v>
      </c>
      <c r="F108" s="29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ht="20">
      <c r="A109" s="31">
        <v>108</v>
      </c>
      <c r="B109" s="18" t="s">
        <v>240</v>
      </c>
      <c r="C109" s="18" t="s">
        <v>72</v>
      </c>
      <c r="D109" s="18" t="s">
        <v>165</v>
      </c>
      <c r="E109" s="3" t="b">
        <f>ISTEXT(VLOOKUP(B109,Draft!$D$3:$D$400,1,FALSE))</f>
        <v>0</v>
      </c>
      <c r="F109" s="29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ht="20">
      <c r="A110" s="31">
        <v>109</v>
      </c>
      <c r="B110" s="18" t="s">
        <v>241</v>
      </c>
      <c r="C110" s="18" t="s">
        <v>72</v>
      </c>
      <c r="D110" s="18" t="s">
        <v>53</v>
      </c>
      <c r="E110" s="3" t="b">
        <f>ISTEXT(VLOOKUP(B110,Draft!$D$3:$D$400,1,FALSE))</f>
        <v>0</v>
      </c>
      <c r="F110" s="29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ht="20">
      <c r="A111" s="31">
        <v>110</v>
      </c>
      <c r="B111" s="18" t="s">
        <v>242</v>
      </c>
      <c r="C111" s="18" t="s">
        <v>72</v>
      </c>
      <c r="D111" s="18" t="s">
        <v>12</v>
      </c>
      <c r="E111" s="3" t="b">
        <f>ISTEXT(VLOOKUP(B111,Draft!$D$3:$D$400,1,FALSE))</f>
        <v>0</v>
      </c>
      <c r="F111" s="29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ht="20">
      <c r="A112" s="31">
        <v>111</v>
      </c>
      <c r="B112" s="18" t="s">
        <v>243</v>
      </c>
      <c r="C112" s="18" t="s">
        <v>72</v>
      </c>
      <c r="D112" s="18" t="s">
        <v>165</v>
      </c>
      <c r="E112" s="3" t="b">
        <f>ISTEXT(VLOOKUP(B112,Draft!$D$3:$D$400,1,FALSE))</f>
        <v>0</v>
      </c>
      <c r="F112" s="29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ht="20">
      <c r="A113" s="31">
        <v>112</v>
      </c>
      <c r="B113" s="18" t="s">
        <v>244</v>
      </c>
      <c r="C113" s="18" t="s">
        <v>72</v>
      </c>
      <c r="D113" s="18" t="s">
        <v>68</v>
      </c>
      <c r="E113" s="3" t="b">
        <f>ISTEXT(VLOOKUP(B113,Draft!$D$3:$D$400,1,FALSE))</f>
        <v>0</v>
      </c>
      <c r="F113" s="29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ht="20">
      <c r="A114" s="31">
        <v>113</v>
      </c>
      <c r="B114" s="18" t="s">
        <v>245</v>
      </c>
      <c r="C114" s="18" t="s">
        <v>72</v>
      </c>
      <c r="D114" s="18" t="s">
        <v>12</v>
      </c>
      <c r="E114" s="3" t="b">
        <f>ISTEXT(VLOOKUP(B114,Draft!$D$3:$D$400,1,FALSE))</f>
        <v>0</v>
      </c>
      <c r="F114" s="29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ht="20">
      <c r="A115" s="31">
        <v>114</v>
      </c>
      <c r="B115" s="18" t="s">
        <v>246</v>
      </c>
      <c r="C115" s="18" t="s">
        <v>72</v>
      </c>
      <c r="D115" s="18" t="s">
        <v>61</v>
      </c>
      <c r="E115" s="3" t="b">
        <f>ISTEXT(VLOOKUP(B115,Draft!$D$3:$D$400,1,FALSE))</f>
        <v>0</v>
      </c>
      <c r="F115" s="29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ht="20">
      <c r="A116" s="31">
        <v>115</v>
      </c>
      <c r="B116" s="18" t="s">
        <v>247</v>
      </c>
      <c r="C116" s="18" t="s">
        <v>72</v>
      </c>
      <c r="D116" s="18" t="s">
        <v>59</v>
      </c>
      <c r="E116" s="3" t="b">
        <f>ISTEXT(VLOOKUP(B116,Draft!$D$3:$D$400,1,FALSE))</f>
        <v>0</v>
      </c>
      <c r="F116" s="29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ht="20">
      <c r="A117" s="31">
        <v>116</v>
      </c>
      <c r="B117" s="18" t="s">
        <v>248</v>
      </c>
      <c r="C117" s="18" t="s">
        <v>72</v>
      </c>
      <c r="D117" s="18" t="s">
        <v>49</v>
      </c>
      <c r="E117" s="3" t="b">
        <f>ISTEXT(VLOOKUP(B117,Draft!$D$3:$D$400,1,FALSE))</f>
        <v>0</v>
      </c>
      <c r="F117" s="29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ht="20">
      <c r="A118" s="31">
        <v>117</v>
      </c>
      <c r="B118" s="18" t="s">
        <v>249</v>
      </c>
      <c r="C118" s="18" t="s">
        <v>72</v>
      </c>
      <c r="D118" s="18" t="s">
        <v>60</v>
      </c>
      <c r="E118" s="3" t="b">
        <f>ISTEXT(VLOOKUP(B118,Draft!$D$3:$D$400,1,FALSE))</f>
        <v>0</v>
      </c>
      <c r="F118" s="29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ht="20">
      <c r="A119" s="31">
        <v>118</v>
      </c>
      <c r="B119" s="18" t="s">
        <v>250</v>
      </c>
      <c r="C119" s="18" t="s">
        <v>72</v>
      </c>
      <c r="D119" s="18" t="s">
        <v>46</v>
      </c>
      <c r="E119" s="3" t="b">
        <f>ISTEXT(VLOOKUP(B119,Draft!$D$3:$D$400,1,FALSE))</f>
        <v>0</v>
      </c>
      <c r="F119" s="2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ht="20">
      <c r="A120" s="31">
        <v>119</v>
      </c>
      <c r="B120" s="18" t="s">
        <v>251</v>
      </c>
      <c r="C120" s="18" t="s">
        <v>72</v>
      </c>
      <c r="D120" s="18" t="s">
        <v>66</v>
      </c>
      <c r="E120" s="3" t="b">
        <f>ISTEXT(VLOOKUP(B120,Draft!$D$3:$D$400,1,FALSE))</f>
        <v>0</v>
      </c>
      <c r="F120" s="29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ht="20">
      <c r="A121" s="31">
        <v>120</v>
      </c>
      <c r="B121" s="18" t="s">
        <v>252</v>
      </c>
      <c r="C121" s="18" t="s">
        <v>72</v>
      </c>
      <c r="D121" s="18" t="s">
        <v>46</v>
      </c>
      <c r="E121" s="3" t="b">
        <f>ISTEXT(VLOOKUP(B121,Draft!$D$3:$D$400,1,FALSE))</f>
        <v>0</v>
      </c>
      <c r="F121" s="29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ht="20">
      <c r="A122" s="31">
        <v>121</v>
      </c>
      <c r="B122" s="18" t="s">
        <v>253</v>
      </c>
      <c r="C122" s="18" t="s">
        <v>72</v>
      </c>
      <c r="D122" s="18" t="s">
        <v>68</v>
      </c>
      <c r="E122" s="3" t="b">
        <f>ISTEXT(VLOOKUP(B122,Draft!$D$3:$D$400,1,FALSE))</f>
        <v>0</v>
      </c>
      <c r="F122" s="29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ht="20">
      <c r="A123" s="31">
        <v>122</v>
      </c>
      <c r="B123" s="18" t="s">
        <v>254</v>
      </c>
      <c r="C123" s="18" t="s">
        <v>72</v>
      </c>
      <c r="D123" s="18" t="s">
        <v>57</v>
      </c>
      <c r="E123" s="3" t="b">
        <f>ISTEXT(VLOOKUP(B123,Draft!$D$3:$D$400,1,FALSE))</f>
        <v>0</v>
      </c>
      <c r="F123" s="29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ht="20">
      <c r="A124" s="31">
        <v>123</v>
      </c>
      <c r="B124" s="18" t="s">
        <v>255</v>
      </c>
      <c r="C124" s="18" t="s">
        <v>72</v>
      </c>
      <c r="D124" s="18" t="s">
        <v>7</v>
      </c>
      <c r="E124" s="3" t="b">
        <f>ISTEXT(VLOOKUP(B124,Draft!$D$3:$D$400,1,FALSE))</f>
        <v>0</v>
      </c>
      <c r="F124" s="29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ht="20">
      <c r="A125" s="31">
        <v>124</v>
      </c>
      <c r="B125" s="18" t="s">
        <v>256</v>
      </c>
      <c r="C125" s="18" t="s">
        <v>72</v>
      </c>
      <c r="D125" s="18" t="s">
        <v>53</v>
      </c>
      <c r="E125" s="3" t="b">
        <f>ISTEXT(VLOOKUP(B125,Draft!$D$3:$D$400,1,FALSE))</f>
        <v>0</v>
      </c>
      <c r="F125" s="29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ht="20">
      <c r="A126" s="31">
        <v>125</v>
      </c>
      <c r="B126" s="18" t="s">
        <v>257</v>
      </c>
      <c r="C126" s="18" t="s">
        <v>72</v>
      </c>
      <c r="D126" s="18" t="s">
        <v>5</v>
      </c>
      <c r="E126" s="3" t="b">
        <f>ISTEXT(VLOOKUP(B126,Draft!$D$3:$D$400,1,FALSE))</f>
        <v>0</v>
      </c>
      <c r="F126" s="29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ht="20">
      <c r="A127" s="31">
        <v>126</v>
      </c>
      <c r="B127" s="18" t="s">
        <v>258</v>
      </c>
      <c r="C127" s="18" t="s">
        <v>72</v>
      </c>
      <c r="D127" s="18" t="s">
        <v>47</v>
      </c>
      <c r="E127" s="3" t="b">
        <f>ISTEXT(VLOOKUP(B127,Draft!$D$3:$D$400,1,FALSE))</f>
        <v>0</v>
      </c>
      <c r="F127" s="29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ht="20">
      <c r="A128" s="31">
        <v>127</v>
      </c>
      <c r="B128" s="18" t="s">
        <v>259</v>
      </c>
      <c r="C128" s="18" t="s">
        <v>72</v>
      </c>
      <c r="D128" s="18" t="s">
        <v>10</v>
      </c>
      <c r="E128" s="3" t="b">
        <f>ISTEXT(VLOOKUP(B128,Draft!$D$3:$D$400,1,FALSE))</f>
        <v>0</v>
      </c>
      <c r="F128" s="29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ht="20">
      <c r="A129" s="31">
        <v>128</v>
      </c>
      <c r="B129" s="18" t="s">
        <v>260</v>
      </c>
      <c r="C129" s="18" t="s">
        <v>72</v>
      </c>
      <c r="D129" s="18" t="s">
        <v>50</v>
      </c>
      <c r="E129" s="3" t="b">
        <f>ISTEXT(VLOOKUP(B129,Draft!$D$3:$D$400,1,FALSE))</f>
        <v>0</v>
      </c>
      <c r="F129" s="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ht="20">
      <c r="A130" s="31">
        <v>129</v>
      </c>
      <c r="B130" s="18" t="s">
        <v>261</v>
      </c>
      <c r="C130" s="18" t="s">
        <v>72</v>
      </c>
      <c r="D130" s="18" t="s">
        <v>14</v>
      </c>
      <c r="E130" s="3" t="b">
        <f>ISTEXT(VLOOKUP(B130,Draft!$D$3:$D$400,1,FALSE))</f>
        <v>0</v>
      </c>
      <c r="F130" s="29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ht="20">
      <c r="A131" s="31">
        <v>130</v>
      </c>
      <c r="B131" s="18" t="s">
        <v>262</v>
      </c>
      <c r="C131" s="18" t="s">
        <v>72</v>
      </c>
      <c r="D131" s="18" t="s">
        <v>59</v>
      </c>
      <c r="E131" s="3" t="b">
        <f>ISTEXT(VLOOKUP(B131,Draft!$D$3:$D$400,1,FALSE))</f>
        <v>0</v>
      </c>
      <c r="F131" s="29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ht="20">
      <c r="A132" s="31">
        <v>131</v>
      </c>
      <c r="B132" s="18" t="s">
        <v>263</v>
      </c>
      <c r="C132" s="18" t="s">
        <v>72</v>
      </c>
      <c r="D132" s="18" t="s">
        <v>48</v>
      </c>
      <c r="E132" s="3" t="b">
        <f>ISTEXT(VLOOKUP(B132,Draft!$D$3:$D$400,1,FALSE))</f>
        <v>0</v>
      </c>
      <c r="F132" s="29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ht="20">
      <c r="A133" s="31">
        <v>132</v>
      </c>
      <c r="B133" s="18" t="s">
        <v>264</v>
      </c>
      <c r="C133" s="18" t="s">
        <v>72</v>
      </c>
      <c r="D133" s="18" t="s">
        <v>55</v>
      </c>
      <c r="E133" s="3" t="b">
        <f>ISTEXT(VLOOKUP(B133,Draft!$D$3:$D$400,1,FALSE))</f>
        <v>0</v>
      </c>
      <c r="F133" s="29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ht="20">
      <c r="A134" s="31">
        <v>133</v>
      </c>
      <c r="B134" s="18" t="s">
        <v>265</v>
      </c>
      <c r="C134" s="18" t="s">
        <v>72</v>
      </c>
      <c r="D134" s="18" t="s">
        <v>69</v>
      </c>
      <c r="E134" s="3" t="b">
        <f>ISTEXT(VLOOKUP(B134,Draft!$D$3:$D$400,1,FALSE))</f>
        <v>0</v>
      </c>
      <c r="F134" s="29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ht="20">
      <c r="A135" s="31">
        <v>134</v>
      </c>
      <c r="B135" s="18" t="s">
        <v>266</v>
      </c>
      <c r="C135" s="18" t="s">
        <v>72</v>
      </c>
      <c r="D135" s="18" t="s">
        <v>47</v>
      </c>
      <c r="E135" s="3" t="b">
        <f>ISTEXT(VLOOKUP(B135,Draft!$D$3:$D$400,1,FALSE))</f>
        <v>0</v>
      </c>
      <c r="F135" s="29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ht="20">
      <c r="A136" s="31">
        <v>135</v>
      </c>
      <c r="B136" s="18" t="s">
        <v>267</v>
      </c>
      <c r="C136" s="18" t="s">
        <v>72</v>
      </c>
      <c r="D136" s="18" t="s">
        <v>66</v>
      </c>
      <c r="E136" s="3" t="b">
        <f>ISTEXT(VLOOKUP(B136,Draft!$D$3:$D$400,1,FALSE))</f>
        <v>0</v>
      </c>
      <c r="F136" s="29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ht="20">
      <c r="A137" s="31">
        <v>136</v>
      </c>
      <c r="B137" s="18" t="s">
        <v>268</v>
      </c>
      <c r="C137" s="18" t="s">
        <v>72</v>
      </c>
      <c r="D137" s="18" t="s">
        <v>64</v>
      </c>
      <c r="E137" s="3" t="b">
        <f>ISTEXT(VLOOKUP(B137,Draft!$D$3:$D$400,1,FALSE))</f>
        <v>0</v>
      </c>
      <c r="F137" s="29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ht="20">
      <c r="A138" s="31">
        <v>137</v>
      </c>
      <c r="B138" s="18" t="s">
        <v>269</v>
      </c>
      <c r="C138" s="18" t="s">
        <v>72</v>
      </c>
      <c r="D138" s="18" t="s">
        <v>5</v>
      </c>
      <c r="E138" s="3" t="b">
        <f>ISTEXT(VLOOKUP(B138,Draft!$D$3:$D$400,1,FALSE))</f>
        <v>0</v>
      </c>
      <c r="F138" s="29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ht="20">
      <c r="A139" s="31">
        <v>138</v>
      </c>
      <c r="B139" s="18" t="s">
        <v>270</v>
      </c>
      <c r="C139" s="18" t="s">
        <v>72</v>
      </c>
      <c r="D139" s="18" t="s">
        <v>15</v>
      </c>
      <c r="E139" s="3" t="b">
        <f>ISTEXT(VLOOKUP(B139,Draft!$D$3:$D$400,1,FALSE))</f>
        <v>0</v>
      </c>
      <c r="F139" s="2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ht="20">
      <c r="A140" s="31">
        <v>139</v>
      </c>
      <c r="B140" s="18" t="s">
        <v>271</v>
      </c>
      <c r="C140" s="18" t="s">
        <v>72</v>
      </c>
      <c r="D140" s="18" t="s">
        <v>56</v>
      </c>
      <c r="E140" s="3" t="b">
        <f>ISTEXT(VLOOKUP(B140,Draft!$D$3:$D$400,1,FALSE))</f>
        <v>0</v>
      </c>
      <c r="F140" s="29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ht="20">
      <c r="A141" s="31">
        <v>140</v>
      </c>
      <c r="B141" s="18" t="s">
        <v>272</v>
      </c>
      <c r="C141" s="18" t="s">
        <v>72</v>
      </c>
      <c r="D141" s="18" t="s">
        <v>48</v>
      </c>
      <c r="E141" s="3" t="b">
        <f>ISTEXT(VLOOKUP(B141,Draft!$D$3:$D$400,1,FALSE))</f>
        <v>0</v>
      </c>
      <c r="F141" s="29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ht="20">
      <c r="A142" s="31">
        <v>141</v>
      </c>
      <c r="B142" s="18" t="s">
        <v>273</v>
      </c>
      <c r="C142" s="18" t="s">
        <v>72</v>
      </c>
      <c r="D142" s="18" t="s">
        <v>51</v>
      </c>
      <c r="E142" s="3" t="b">
        <f>ISTEXT(VLOOKUP(B142,Draft!$D$3:$D$400,1,FALSE))</f>
        <v>0</v>
      </c>
      <c r="F142" s="29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ht="20">
      <c r="A143" s="31">
        <v>142</v>
      </c>
      <c r="B143" s="18" t="s">
        <v>274</v>
      </c>
      <c r="C143" s="18" t="s">
        <v>72</v>
      </c>
      <c r="D143" s="18" t="s">
        <v>56</v>
      </c>
      <c r="E143" s="3" t="b">
        <f>ISTEXT(VLOOKUP(B143,Draft!$D$3:$D$400,1,FALSE))</f>
        <v>0</v>
      </c>
      <c r="F143" s="29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ht="20">
      <c r="A144" s="31">
        <v>143</v>
      </c>
      <c r="B144" s="18" t="s">
        <v>275</v>
      </c>
      <c r="C144" s="18" t="s">
        <v>72</v>
      </c>
      <c r="D144" s="18" t="s">
        <v>57</v>
      </c>
      <c r="E144" s="3" t="b">
        <f>ISTEXT(VLOOKUP(B144,Draft!$D$3:$D$400,1,FALSE))</f>
        <v>0</v>
      </c>
      <c r="F144" s="29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ht="20">
      <c r="A145" s="31">
        <v>144</v>
      </c>
      <c r="B145" s="18" t="s">
        <v>276</v>
      </c>
      <c r="C145" s="18" t="s">
        <v>72</v>
      </c>
      <c r="D145" s="18" t="s">
        <v>49</v>
      </c>
      <c r="E145" s="3" t="b">
        <f>ISTEXT(VLOOKUP(B145,Draft!$D$3:$D$400,1,FALSE))</f>
        <v>0</v>
      </c>
      <c r="F145" s="29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ht="20">
      <c r="A146" s="31">
        <v>145</v>
      </c>
      <c r="B146" s="18" t="s">
        <v>277</v>
      </c>
      <c r="C146" s="18" t="s">
        <v>72</v>
      </c>
      <c r="D146" s="18" t="s">
        <v>65</v>
      </c>
      <c r="E146" s="3" t="b">
        <f>ISTEXT(VLOOKUP(B146,Draft!$D$3:$D$400,1,FALSE))</f>
        <v>0</v>
      </c>
      <c r="F146" s="29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ht="20">
      <c r="A147" s="31">
        <v>146</v>
      </c>
      <c r="B147" s="18" t="s">
        <v>278</v>
      </c>
      <c r="C147" s="18" t="s">
        <v>72</v>
      </c>
      <c r="D147" s="18" t="s">
        <v>45</v>
      </c>
      <c r="E147" s="3" t="b">
        <f>ISTEXT(VLOOKUP(B147,Draft!$D$3:$D$400,1,FALSE))</f>
        <v>0</v>
      </c>
      <c r="F147" s="29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ht="20">
      <c r="A148" s="31">
        <v>147</v>
      </c>
      <c r="B148" s="18" t="s">
        <v>279</v>
      </c>
      <c r="C148" s="18" t="s">
        <v>70</v>
      </c>
      <c r="D148" s="18" t="s">
        <v>48</v>
      </c>
      <c r="E148" s="3" t="b">
        <f>ISTEXT(VLOOKUP(B148,Draft!$D$3:$D$400,1,FALSE))</f>
        <v>0</v>
      </c>
      <c r="F148" s="29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ht="20">
      <c r="A149" s="31">
        <v>148</v>
      </c>
      <c r="B149" s="18" t="s">
        <v>280</v>
      </c>
      <c r="C149" s="18" t="s">
        <v>70</v>
      </c>
      <c r="D149" s="18" t="s">
        <v>60</v>
      </c>
      <c r="E149" s="3" t="b">
        <f>ISTEXT(VLOOKUP(B149,Draft!$D$3:$D$400,1,FALSE))</f>
        <v>0</v>
      </c>
      <c r="F149" s="29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ht="20">
      <c r="A150" s="31">
        <v>149</v>
      </c>
      <c r="B150" s="18" t="s">
        <v>281</v>
      </c>
      <c r="C150" s="18" t="s">
        <v>70</v>
      </c>
      <c r="D150" s="18" t="s">
        <v>53</v>
      </c>
      <c r="E150" s="3" t="b">
        <f>ISTEXT(VLOOKUP(B150,Draft!$D$3:$D$400,1,FALSE))</f>
        <v>0</v>
      </c>
      <c r="F150" s="29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ht="20">
      <c r="A151" s="31">
        <v>150</v>
      </c>
      <c r="B151" s="18" t="s">
        <v>282</v>
      </c>
      <c r="C151" s="18" t="s">
        <v>70</v>
      </c>
      <c r="D151" s="18" t="s">
        <v>15</v>
      </c>
      <c r="E151" s="3" t="b">
        <f>ISTEXT(VLOOKUP(B151,Draft!$D$3:$D$400,1,FALSE))</f>
        <v>0</v>
      </c>
      <c r="F151" s="29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ht="20">
      <c r="A152" s="31">
        <v>151</v>
      </c>
      <c r="B152" s="18" t="s">
        <v>283</v>
      </c>
      <c r="C152" s="18" t="s">
        <v>70</v>
      </c>
      <c r="D152" s="18" t="s">
        <v>56</v>
      </c>
      <c r="E152" s="3" t="b">
        <f>ISTEXT(VLOOKUP(B152,Draft!$D$3:$D$400,1,FALSE))</f>
        <v>0</v>
      </c>
      <c r="F152" s="29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ht="20">
      <c r="A153" s="31">
        <v>152</v>
      </c>
      <c r="B153" s="18" t="s">
        <v>284</v>
      </c>
      <c r="C153" s="18" t="s">
        <v>70</v>
      </c>
      <c r="D153" s="18" t="s">
        <v>59</v>
      </c>
      <c r="E153" s="3" t="b">
        <f>ISTEXT(VLOOKUP(B153,Draft!$D$3:$D$400,1,FALSE))</f>
        <v>0</v>
      </c>
      <c r="F153" s="29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ht="20">
      <c r="A154" s="31">
        <v>153</v>
      </c>
      <c r="B154" s="18" t="s">
        <v>285</v>
      </c>
      <c r="C154" s="18" t="s">
        <v>70</v>
      </c>
      <c r="D154" s="18" t="s">
        <v>15</v>
      </c>
      <c r="E154" s="3" t="b">
        <f>ISTEXT(VLOOKUP(B154,Draft!$D$3:$D$400,1,FALSE))</f>
        <v>0</v>
      </c>
      <c r="F154" s="29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ht="20">
      <c r="A155" s="31">
        <v>154</v>
      </c>
      <c r="B155" s="18" t="s">
        <v>286</v>
      </c>
      <c r="C155" s="18" t="s">
        <v>70</v>
      </c>
      <c r="D155" s="18" t="s">
        <v>48</v>
      </c>
      <c r="E155" s="3" t="b">
        <f>ISTEXT(VLOOKUP(B155,Draft!$D$3:$D$400,1,FALSE))</f>
        <v>0</v>
      </c>
      <c r="F155" s="29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ht="20">
      <c r="A156" s="31">
        <v>155</v>
      </c>
      <c r="B156" s="18" t="s">
        <v>287</v>
      </c>
      <c r="C156" s="18" t="s">
        <v>70</v>
      </c>
      <c r="D156" s="18" t="s">
        <v>56</v>
      </c>
      <c r="E156" s="3" t="b">
        <f>ISTEXT(VLOOKUP(B156,Draft!$D$3:$D$400,1,FALSE))</f>
        <v>0</v>
      </c>
      <c r="F156" s="29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ht="20">
      <c r="A157" s="31">
        <v>156</v>
      </c>
      <c r="B157" s="18" t="s">
        <v>288</v>
      </c>
      <c r="C157" s="18" t="s">
        <v>70</v>
      </c>
      <c r="D157" s="18" t="s">
        <v>50</v>
      </c>
      <c r="E157" s="3" t="b">
        <f>ISTEXT(VLOOKUP(B157,Draft!$D$3:$D$400,1,FALSE))</f>
        <v>0</v>
      </c>
      <c r="F157" s="29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ht="20">
      <c r="A158" s="31">
        <v>157</v>
      </c>
      <c r="B158" s="18" t="s">
        <v>289</v>
      </c>
      <c r="C158" s="18" t="s">
        <v>70</v>
      </c>
      <c r="D158" s="18" t="s">
        <v>10</v>
      </c>
      <c r="E158" s="3" t="b">
        <f>ISTEXT(VLOOKUP(B158,Draft!$D$3:$D$400,1,FALSE))</f>
        <v>0</v>
      </c>
      <c r="F158" s="29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ht="20">
      <c r="A159" s="31">
        <v>158</v>
      </c>
      <c r="B159" s="18" t="s">
        <v>290</v>
      </c>
      <c r="C159" s="18" t="s">
        <v>70</v>
      </c>
      <c r="D159" s="18" t="s">
        <v>55</v>
      </c>
      <c r="E159" s="3" t="b">
        <f>ISTEXT(VLOOKUP(B159,Draft!$D$3:$D$400,1,FALSE))</f>
        <v>0</v>
      </c>
      <c r="F159" s="29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 ht="20">
      <c r="A160" s="31">
        <v>159</v>
      </c>
      <c r="B160" s="18" t="s">
        <v>291</v>
      </c>
      <c r="C160" s="18" t="s">
        <v>70</v>
      </c>
      <c r="D160" s="18" t="s">
        <v>10</v>
      </c>
      <c r="E160" s="3" t="b">
        <f>ISTEXT(VLOOKUP(B160,Draft!$D$3:$D$400,1,FALSE))</f>
        <v>0</v>
      </c>
      <c r="F160" s="29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 ht="20">
      <c r="A161" s="31">
        <v>160</v>
      </c>
      <c r="B161" s="18" t="s">
        <v>292</v>
      </c>
      <c r="C161" s="18" t="s">
        <v>70</v>
      </c>
      <c r="D161" s="18" t="s">
        <v>58</v>
      </c>
      <c r="E161" s="3" t="b">
        <f>ISTEXT(VLOOKUP(B161,Draft!$D$3:$D$400,1,FALSE))</f>
        <v>0</v>
      </c>
      <c r="F161" s="29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 ht="20">
      <c r="A162" s="31">
        <v>161</v>
      </c>
      <c r="B162" s="18" t="s">
        <v>293</v>
      </c>
      <c r="C162" s="18" t="s">
        <v>70</v>
      </c>
      <c r="D162" s="18" t="s">
        <v>17</v>
      </c>
      <c r="E162" s="3" t="b">
        <f>ISTEXT(VLOOKUP(B162,Draft!$D$3:$D$400,1,FALSE))</f>
        <v>0</v>
      </c>
      <c r="F162" s="29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 ht="20">
      <c r="A163" s="31">
        <v>162</v>
      </c>
      <c r="B163" s="18" t="s">
        <v>294</v>
      </c>
      <c r="C163" s="18" t="s">
        <v>70</v>
      </c>
      <c r="D163" s="18" t="s">
        <v>10</v>
      </c>
      <c r="E163" s="3" t="b">
        <f>ISTEXT(VLOOKUP(B163,Draft!$D$3:$D$400,1,FALSE))</f>
        <v>0</v>
      </c>
      <c r="F163" s="29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 ht="20">
      <c r="A164" s="31">
        <v>163</v>
      </c>
      <c r="B164" s="18" t="s">
        <v>295</v>
      </c>
      <c r="C164" s="18" t="s">
        <v>70</v>
      </c>
      <c r="D164" s="18" t="s">
        <v>61</v>
      </c>
      <c r="E164" s="3" t="b">
        <f>ISTEXT(VLOOKUP(B164,Draft!$D$3:$D$400,1,FALSE))</f>
        <v>0</v>
      </c>
      <c r="F164" s="29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 ht="20">
      <c r="A165" s="31">
        <v>164</v>
      </c>
      <c r="B165" s="18" t="s">
        <v>296</v>
      </c>
      <c r="C165" s="18" t="s">
        <v>70</v>
      </c>
      <c r="D165" s="18" t="s">
        <v>64</v>
      </c>
      <c r="E165" s="3" t="b">
        <f>ISTEXT(VLOOKUP(B165,Draft!$D$3:$D$400,1,FALSE))</f>
        <v>0</v>
      </c>
      <c r="F165" s="29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 ht="20">
      <c r="A166" s="31">
        <v>165</v>
      </c>
      <c r="B166" s="18" t="s">
        <v>297</v>
      </c>
      <c r="C166" s="18" t="s">
        <v>70</v>
      </c>
      <c r="D166" s="18" t="s">
        <v>57</v>
      </c>
      <c r="E166" s="3" t="b">
        <f>ISTEXT(VLOOKUP(B166,Draft!$D$3:$D$400,1,FALSE))</f>
        <v>0</v>
      </c>
      <c r="F166" s="29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 ht="20">
      <c r="A167" s="31">
        <v>166</v>
      </c>
      <c r="B167" s="18" t="s">
        <v>298</v>
      </c>
      <c r="C167" s="18" t="s">
        <v>70</v>
      </c>
      <c r="D167" s="18" t="s">
        <v>46</v>
      </c>
      <c r="E167" s="3" t="b">
        <f>ISTEXT(VLOOKUP(B167,Draft!$D$3:$D$400,1,FALSE))</f>
        <v>0</v>
      </c>
      <c r="F167" s="29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 ht="20">
      <c r="A168" s="31">
        <v>167</v>
      </c>
      <c r="B168" s="18" t="s">
        <v>299</v>
      </c>
      <c r="C168" s="18" t="s">
        <v>70</v>
      </c>
      <c r="D168" s="18" t="s">
        <v>62</v>
      </c>
      <c r="E168" s="3" t="b">
        <f>ISTEXT(VLOOKUP(B168,Draft!$D$3:$D$400,1,FALSE))</f>
        <v>0</v>
      </c>
      <c r="F168" s="29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 ht="20">
      <c r="A169" s="31">
        <v>168</v>
      </c>
      <c r="B169" s="18" t="s">
        <v>300</v>
      </c>
      <c r="C169" s="18" t="s">
        <v>70</v>
      </c>
      <c r="D169" s="18" t="s">
        <v>52</v>
      </c>
      <c r="E169" s="3" t="b">
        <f>ISTEXT(VLOOKUP(B169,Draft!$D$3:$D$400,1,FALSE))</f>
        <v>0</v>
      </c>
      <c r="F169" s="29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 ht="20">
      <c r="A170" s="31">
        <v>169</v>
      </c>
      <c r="B170" s="18" t="s">
        <v>301</v>
      </c>
      <c r="C170" s="18" t="s">
        <v>70</v>
      </c>
      <c r="D170" s="18" t="s">
        <v>64</v>
      </c>
      <c r="E170" s="3" t="b">
        <f>ISTEXT(VLOOKUP(B170,Draft!$D$3:$D$400,1,FALSE))</f>
        <v>0</v>
      </c>
      <c r="F170" s="29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 ht="20">
      <c r="A171" s="31">
        <v>170</v>
      </c>
      <c r="B171" s="18" t="s">
        <v>302</v>
      </c>
      <c r="C171" s="18" t="s">
        <v>70</v>
      </c>
      <c r="D171" s="18" t="s">
        <v>69</v>
      </c>
      <c r="E171" s="3" t="b">
        <f>ISTEXT(VLOOKUP(B171,Draft!$D$3:$D$400,1,FALSE))</f>
        <v>0</v>
      </c>
      <c r="F171" s="29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 ht="20">
      <c r="A172" s="31">
        <v>171</v>
      </c>
      <c r="B172" s="18" t="s">
        <v>303</v>
      </c>
      <c r="C172" s="18" t="s">
        <v>70</v>
      </c>
      <c r="D172" s="18" t="s">
        <v>47</v>
      </c>
      <c r="E172" s="3" t="b">
        <f>ISTEXT(VLOOKUP(B172,Draft!$D$3:$D$400,1,FALSE))</f>
        <v>0</v>
      </c>
      <c r="F172" s="29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 ht="20">
      <c r="A173" s="31">
        <v>172</v>
      </c>
      <c r="B173" s="18" t="s">
        <v>304</v>
      </c>
      <c r="C173" s="18" t="s">
        <v>70</v>
      </c>
      <c r="D173" s="18" t="s">
        <v>54</v>
      </c>
      <c r="E173" s="3" t="b">
        <f>ISTEXT(VLOOKUP(B173,Draft!$D$3:$D$400,1,FALSE))</f>
        <v>0</v>
      </c>
      <c r="F173" s="29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 ht="20">
      <c r="A174" s="31">
        <v>173</v>
      </c>
      <c r="B174" s="18" t="s">
        <v>305</v>
      </c>
      <c r="C174" s="18" t="s">
        <v>70</v>
      </c>
      <c r="D174" s="18" t="s">
        <v>53</v>
      </c>
      <c r="E174" s="3" t="b">
        <f>ISTEXT(VLOOKUP(B174,Draft!$D$3:$D$400,1,FALSE))</f>
        <v>0</v>
      </c>
      <c r="F174" s="29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 ht="20">
      <c r="A175" s="31">
        <v>174</v>
      </c>
      <c r="B175" s="18" t="s">
        <v>306</v>
      </c>
      <c r="C175" s="18" t="s">
        <v>70</v>
      </c>
      <c r="D175" s="18" t="s">
        <v>61</v>
      </c>
      <c r="E175" s="3" t="b">
        <f>ISTEXT(VLOOKUP(B175,Draft!$D$3:$D$400,1,FALSE))</f>
        <v>0</v>
      </c>
      <c r="F175" s="29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 ht="20">
      <c r="A176" s="31">
        <v>175</v>
      </c>
      <c r="B176" s="18" t="s">
        <v>307</v>
      </c>
      <c r="C176" s="18" t="s">
        <v>70</v>
      </c>
      <c r="D176" s="18" t="s">
        <v>55</v>
      </c>
      <c r="E176" s="3" t="b">
        <f>ISTEXT(VLOOKUP(B176,Draft!$D$3:$D$400,1,FALSE))</f>
        <v>0</v>
      </c>
      <c r="F176" s="29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 ht="20">
      <c r="A177" s="31">
        <v>176</v>
      </c>
      <c r="B177" s="18" t="s">
        <v>308</v>
      </c>
      <c r="C177" s="18" t="s">
        <v>70</v>
      </c>
      <c r="D177" s="18" t="s">
        <v>46</v>
      </c>
      <c r="E177" s="3" t="b">
        <f>ISTEXT(VLOOKUP(B177,Draft!$D$3:$D$400,1,FALSE))</f>
        <v>0</v>
      </c>
      <c r="F177" s="29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 ht="20">
      <c r="A178" s="31">
        <v>177</v>
      </c>
      <c r="B178" s="18" t="s">
        <v>309</v>
      </c>
      <c r="C178" s="18" t="s">
        <v>70</v>
      </c>
      <c r="D178" s="18" t="s">
        <v>66</v>
      </c>
      <c r="E178" s="3" t="b">
        <f>ISTEXT(VLOOKUP(B178,Draft!$D$3:$D$400,1,FALSE))</f>
        <v>0</v>
      </c>
      <c r="F178" s="29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 ht="20">
      <c r="A179" s="31">
        <v>178</v>
      </c>
      <c r="B179" s="18" t="s">
        <v>310</v>
      </c>
      <c r="C179" s="18" t="s">
        <v>70</v>
      </c>
      <c r="D179" s="18" t="s">
        <v>58</v>
      </c>
      <c r="E179" s="3" t="b">
        <f>ISTEXT(VLOOKUP(B179,Draft!$D$3:$D$400,1,FALSE))</f>
        <v>0</v>
      </c>
      <c r="F179" s="29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 ht="20">
      <c r="A180" s="31">
        <v>179</v>
      </c>
      <c r="B180" s="18" t="s">
        <v>311</v>
      </c>
      <c r="C180" s="18" t="s">
        <v>70</v>
      </c>
      <c r="D180" s="18" t="s">
        <v>14</v>
      </c>
      <c r="E180" s="3" t="b">
        <f>ISTEXT(VLOOKUP(B180,Draft!$D$3:$D$400,1,FALSE))</f>
        <v>0</v>
      </c>
      <c r="F180" s="29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 ht="20">
      <c r="A181" s="31">
        <v>180</v>
      </c>
      <c r="B181" s="18" t="s">
        <v>312</v>
      </c>
      <c r="C181" s="18" t="s">
        <v>70</v>
      </c>
      <c r="D181" s="18" t="s">
        <v>10</v>
      </c>
      <c r="E181" s="3" t="b">
        <f>ISTEXT(VLOOKUP(B181,Draft!$D$3:$D$400,1,FALSE))</f>
        <v>0</v>
      </c>
      <c r="F181" s="29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 ht="20">
      <c r="A182" s="31">
        <v>181</v>
      </c>
      <c r="B182" s="18" t="s">
        <v>313</v>
      </c>
      <c r="C182" s="18" t="s">
        <v>70</v>
      </c>
      <c r="D182" s="18" t="s">
        <v>57</v>
      </c>
      <c r="E182" s="3" t="b">
        <f>ISTEXT(VLOOKUP(B182,Draft!$D$3:$D$400,1,FALSE))</f>
        <v>0</v>
      </c>
      <c r="F182" s="29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 ht="20">
      <c r="A183" s="31">
        <v>182</v>
      </c>
      <c r="B183" s="18" t="s">
        <v>314</v>
      </c>
      <c r="C183" s="18" t="s">
        <v>70</v>
      </c>
      <c r="D183" s="18" t="s">
        <v>55</v>
      </c>
      <c r="E183" s="3" t="b">
        <f>ISTEXT(VLOOKUP(B183,Draft!$D$3:$D$400,1,FALSE))</f>
        <v>0</v>
      </c>
      <c r="F183" s="29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 ht="20">
      <c r="A184" s="31">
        <v>183</v>
      </c>
      <c r="B184" s="18" t="s">
        <v>315</v>
      </c>
      <c r="C184" s="18" t="s">
        <v>70</v>
      </c>
      <c r="D184" s="18" t="s">
        <v>52</v>
      </c>
      <c r="E184" s="3" t="b">
        <f>ISTEXT(VLOOKUP(B184,Draft!$D$3:$D$400,1,FALSE))</f>
        <v>0</v>
      </c>
      <c r="F184" s="29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 ht="20">
      <c r="A185" s="31">
        <v>184</v>
      </c>
      <c r="B185" s="18" t="s">
        <v>316</v>
      </c>
      <c r="C185" s="18" t="s">
        <v>70</v>
      </c>
      <c r="D185" s="18" t="s">
        <v>68</v>
      </c>
      <c r="E185" s="3" t="b">
        <f>ISTEXT(VLOOKUP(B185,Draft!$D$3:$D$400,1,FALSE))</f>
        <v>0</v>
      </c>
      <c r="F185" s="29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 ht="20">
      <c r="A186" s="31">
        <v>185</v>
      </c>
      <c r="B186" s="18" t="s">
        <v>317</v>
      </c>
      <c r="C186" s="18" t="s">
        <v>70</v>
      </c>
      <c r="D186" s="18" t="s">
        <v>14</v>
      </c>
      <c r="E186" s="3" t="b">
        <f>ISTEXT(VLOOKUP(B186,Draft!$D$3:$D$400,1,FALSE))</f>
        <v>0</v>
      </c>
      <c r="F186" s="29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 ht="20">
      <c r="A187" s="31">
        <v>186</v>
      </c>
      <c r="B187" s="18" t="s">
        <v>318</v>
      </c>
      <c r="C187" s="18" t="s">
        <v>70</v>
      </c>
      <c r="D187" s="18" t="s">
        <v>50</v>
      </c>
      <c r="E187" s="3" t="b">
        <f>ISTEXT(VLOOKUP(B187,Draft!$D$3:$D$400,1,FALSE))</f>
        <v>0</v>
      </c>
      <c r="F187" s="29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 ht="20">
      <c r="A188" s="31">
        <v>187</v>
      </c>
      <c r="B188" s="18" t="s">
        <v>319</v>
      </c>
      <c r="C188" s="18" t="s">
        <v>70</v>
      </c>
      <c r="D188" s="18" t="s">
        <v>15</v>
      </c>
      <c r="E188" s="3" t="b">
        <f>ISTEXT(VLOOKUP(B188,Draft!$D$3:$D$400,1,FALSE))</f>
        <v>0</v>
      </c>
      <c r="F188" s="29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 ht="20">
      <c r="A189" s="31">
        <v>188</v>
      </c>
      <c r="B189" s="18" t="s">
        <v>320</v>
      </c>
      <c r="C189" s="18" t="s">
        <v>70</v>
      </c>
      <c r="D189" s="18" t="s">
        <v>17</v>
      </c>
      <c r="E189" s="3" t="b">
        <f>ISTEXT(VLOOKUP(B189,Draft!$D$3:$D$400,1,FALSE))</f>
        <v>0</v>
      </c>
      <c r="F189" s="29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 ht="20">
      <c r="A190" s="31">
        <v>189</v>
      </c>
      <c r="B190" s="18" t="s">
        <v>321</v>
      </c>
      <c r="C190" s="18" t="s">
        <v>70</v>
      </c>
      <c r="D190" s="18" t="s">
        <v>17</v>
      </c>
      <c r="E190" s="3" t="b">
        <f>ISTEXT(VLOOKUP(B190,Draft!$D$3:$D$400,1,FALSE))</f>
        <v>0</v>
      </c>
      <c r="F190" s="29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 ht="20">
      <c r="A191" s="31">
        <v>190</v>
      </c>
      <c r="B191" s="18" t="s">
        <v>322</v>
      </c>
      <c r="C191" s="18" t="s">
        <v>70</v>
      </c>
      <c r="D191" s="18" t="s">
        <v>7</v>
      </c>
      <c r="E191" s="3" t="b">
        <f>ISTEXT(VLOOKUP(B191,Draft!$D$3:$D$400,1,FALSE))</f>
        <v>0</v>
      </c>
      <c r="F191" s="29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 ht="20">
      <c r="A192" s="31">
        <v>191</v>
      </c>
      <c r="B192" s="18" t="s">
        <v>323</v>
      </c>
      <c r="C192" s="18" t="s">
        <v>70</v>
      </c>
      <c r="D192" s="18" t="s">
        <v>65</v>
      </c>
      <c r="E192" s="3" t="b">
        <f>ISTEXT(VLOOKUP(B192,Draft!$D$3:$D$400,1,FALSE))</f>
        <v>0</v>
      </c>
      <c r="F192" s="29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 ht="20">
      <c r="A193" s="31">
        <v>192</v>
      </c>
      <c r="B193" s="18" t="s">
        <v>324</v>
      </c>
      <c r="C193" s="18" t="s">
        <v>70</v>
      </c>
      <c r="D193" s="18" t="s">
        <v>69</v>
      </c>
      <c r="E193" s="3" t="b">
        <f>ISTEXT(VLOOKUP(B193,Draft!$D$3:$D$400,1,FALSE))</f>
        <v>0</v>
      </c>
      <c r="F193" s="29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 ht="20">
      <c r="A194" s="31">
        <v>193</v>
      </c>
      <c r="B194" s="18" t="s">
        <v>325</v>
      </c>
      <c r="C194" s="18" t="s">
        <v>70</v>
      </c>
      <c r="D194" s="18" t="s">
        <v>51</v>
      </c>
      <c r="E194" s="3" t="b">
        <f>ISTEXT(VLOOKUP(B194,Draft!$D$3:$D$400,1,FALSE))</f>
        <v>0</v>
      </c>
      <c r="F194" s="29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 ht="20">
      <c r="A195" s="31">
        <v>194</v>
      </c>
      <c r="B195" s="18" t="s">
        <v>326</v>
      </c>
      <c r="C195" s="18" t="s">
        <v>70</v>
      </c>
      <c r="D195" s="18" t="s">
        <v>54</v>
      </c>
      <c r="E195" s="3" t="b">
        <f>ISTEXT(VLOOKUP(B195,Draft!$D$3:$D$400,1,FALSE))</f>
        <v>0</v>
      </c>
      <c r="F195" s="29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 ht="20">
      <c r="A196" s="31">
        <v>195</v>
      </c>
      <c r="B196" s="18" t="s">
        <v>327</v>
      </c>
      <c r="C196" s="18" t="s">
        <v>70</v>
      </c>
      <c r="D196" s="18" t="s">
        <v>62</v>
      </c>
      <c r="E196" s="3" t="b">
        <f>ISTEXT(VLOOKUP(B196,Draft!$D$3:$D$400,1,FALSE))</f>
        <v>0</v>
      </c>
      <c r="F196" s="29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 ht="20">
      <c r="A197" s="31">
        <v>196</v>
      </c>
      <c r="B197" s="18" t="s">
        <v>328</v>
      </c>
      <c r="C197" s="18" t="s">
        <v>70</v>
      </c>
      <c r="D197" s="18" t="s">
        <v>165</v>
      </c>
      <c r="E197" s="3" t="b">
        <f>ISTEXT(VLOOKUP(B197,Draft!$D$3:$D$400,1,FALSE))</f>
        <v>0</v>
      </c>
      <c r="F197" s="29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 ht="20">
      <c r="A198" s="31">
        <v>197</v>
      </c>
      <c r="B198" s="18" t="s">
        <v>329</v>
      </c>
      <c r="C198" s="18" t="s">
        <v>70</v>
      </c>
      <c r="D198" s="18" t="s">
        <v>53</v>
      </c>
      <c r="E198" s="3" t="b">
        <f>ISTEXT(VLOOKUP(B198,Draft!$D$3:$D$400,1,FALSE))</f>
        <v>0</v>
      </c>
      <c r="F198" s="29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 ht="20">
      <c r="A199" s="31">
        <v>198</v>
      </c>
      <c r="B199" s="18" t="s">
        <v>330</v>
      </c>
      <c r="C199" s="18" t="s">
        <v>70</v>
      </c>
      <c r="D199" s="18" t="s">
        <v>12</v>
      </c>
      <c r="E199" s="3" t="b">
        <f>ISTEXT(VLOOKUP(B199,Draft!$D$3:$D$400,1,FALSE))</f>
        <v>0</v>
      </c>
      <c r="F199" s="29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 ht="20">
      <c r="A200" s="31">
        <v>199</v>
      </c>
      <c r="B200" s="18" t="s">
        <v>331</v>
      </c>
      <c r="C200" s="18" t="s">
        <v>70</v>
      </c>
      <c r="D200" s="18" t="s">
        <v>12</v>
      </c>
      <c r="E200" s="3" t="b">
        <f>ISTEXT(VLOOKUP(B200,Draft!$D$3:$D$400,1,FALSE))</f>
        <v>0</v>
      </c>
      <c r="F200" s="29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 ht="20">
      <c r="A201" s="31">
        <v>200</v>
      </c>
      <c r="B201" s="18" t="s">
        <v>332</v>
      </c>
      <c r="C201" s="18" t="s">
        <v>70</v>
      </c>
      <c r="D201" s="18" t="s">
        <v>5</v>
      </c>
      <c r="E201" s="3" t="b">
        <f>ISTEXT(VLOOKUP(B201,Draft!$D$3:$D$400,1,FALSE))</f>
        <v>0</v>
      </c>
      <c r="F201" s="29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 ht="20">
      <c r="A202" s="31">
        <v>201</v>
      </c>
      <c r="B202" s="18" t="s">
        <v>333</v>
      </c>
      <c r="C202" s="18" t="s">
        <v>70</v>
      </c>
      <c r="D202" s="18" t="s">
        <v>49</v>
      </c>
      <c r="E202" s="3" t="b">
        <f>ISTEXT(VLOOKUP(B202,Draft!$D$3:$D$400,1,FALSE))</f>
        <v>0</v>
      </c>
      <c r="F202" s="29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 ht="20">
      <c r="A203" s="31">
        <v>202</v>
      </c>
      <c r="B203" s="18" t="s">
        <v>334</v>
      </c>
      <c r="C203" s="18" t="s">
        <v>70</v>
      </c>
      <c r="D203" s="18" t="s">
        <v>52</v>
      </c>
      <c r="E203" s="3" t="b">
        <f>ISTEXT(VLOOKUP(B203,Draft!$D$3:$D$400,1,FALSE))</f>
        <v>0</v>
      </c>
      <c r="F203" s="29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 ht="20">
      <c r="A204" s="31">
        <v>203</v>
      </c>
      <c r="B204" s="18" t="s">
        <v>335</v>
      </c>
      <c r="C204" s="18" t="s">
        <v>70</v>
      </c>
      <c r="D204" s="18" t="s">
        <v>63</v>
      </c>
      <c r="E204" s="3" t="b">
        <f>ISTEXT(VLOOKUP(B204,Draft!$D$3:$D$400,1,FALSE))</f>
        <v>0</v>
      </c>
      <c r="F204" s="29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 ht="20">
      <c r="A205" s="31">
        <v>204</v>
      </c>
      <c r="B205" s="18" t="s">
        <v>336</v>
      </c>
      <c r="C205" s="18" t="s">
        <v>70</v>
      </c>
      <c r="D205" s="18" t="s">
        <v>57</v>
      </c>
      <c r="E205" s="3" t="b">
        <f>ISTEXT(VLOOKUP(B205,Draft!$D$3:$D$400,1,FALSE))</f>
        <v>0</v>
      </c>
      <c r="F205" s="29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 ht="20">
      <c r="A206" s="31">
        <v>205</v>
      </c>
      <c r="B206" s="18" t="s">
        <v>337</v>
      </c>
      <c r="C206" s="18" t="s">
        <v>70</v>
      </c>
      <c r="D206" s="18" t="s">
        <v>69</v>
      </c>
      <c r="E206" s="3" t="b">
        <f>ISTEXT(VLOOKUP(B206,Draft!$D$3:$D$400,1,FALSE))</f>
        <v>0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 ht="20">
      <c r="A207" s="31">
        <v>206</v>
      </c>
      <c r="B207" s="18" t="s">
        <v>338</v>
      </c>
      <c r="C207" s="18" t="s">
        <v>70</v>
      </c>
      <c r="D207" s="18" t="s">
        <v>47</v>
      </c>
      <c r="E207" s="3" t="b">
        <f>ISTEXT(VLOOKUP(B207,Draft!$D$3:$D$400,1,FALSE))</f>
        <v>0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 ht="20">
      <c r="A208" s="31">
        <v>207</v>
      </c>
      <c r="B208" s="18" t="s">
        <v>339</v>
      </c>
      <c r="C208" s="18" t="s">
        <v>70</v>
      </c>
      <c r="D208" s="18" t="s">
        <v>59</v>
      </c>
      <c r="E208" s="3" t="b">
        <f>ISTEXT(VLOOKUP(B208,Draft!$D$3:$D$400,1,FALSE))</f>
        <v>0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 ht="20">
      <c r="A209" s="31">
        <v>208</v>
      </c>
      <c r="B209" s="18" t="s">
        <v>340</v>
      </c>
      <c r="C209" s="18" t="s">
        <v>70</v>
      </c>
      <c r="D209" s="18" t="s">
        <v>5</v>
      </c>
      <c r="E209" s="3" t="b">
        <f>ISTEXT(VLOOKUP(B209,Draft!$D$3:$D$400,1,FALSE))</f>
        <v>0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 ht="20">
      <c r="A210" s="31">
        <v>209</v>
      </c>
      <c r="B210" s="18" t="s">
        <v>341</v>
      </c>
      <c r="C210" s="18" t="s">
        <v>70</v>
      </c>
      <c r="D210" s="18" t="s">
        <v>60</v>
      </c>
      <c r="E210" s="3" t="b">
        <f>ISTEXT(VLOOKUP(B210,Draft!$D$3:$D$400,1,FALSE))</f>
        <v>0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 ht="20">
      <c r="A211" s="31">
        <v>210</v>
      </c>
      <c r="B211" s="18" t="s">
        <v>342</v>
      </c>
      <c r="C211" s="18" t="s">
        <v>70</v>
      </c>
      <c r="D211" s="18" t="s">
        <v>165</v>
      </c>
      <c r="E211" s="3" t="b">
        <f>ISTEXT(VLOOKUP(B211,Draft!$D$3:$D$400,1,FALSE))</f>
        <v>0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 ht="20">
      <c r="A212" s="31">
        <v>211</v>
      </c>
      <c r="B212" s="18" t="s">
        <v>343</v>
      </c>
      <c r="C212" s="18" t="s">
        <v>70</v>
      </c>
      <c r="D212" s="18" t="s">
        <v>63</v>
      </c>
      <c r="E212" s="3" t="b">
        <f>ISTEXT(VLOOKUP(B212,Draft!$D$3:$D$400,1,FALSE))</f>
        <v>0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 ht="20">
      <c r="A213" s="31">
        <v>212</v>
      </c>
      <c r="B213" s="18" t="s">
        <v>344</v>
      </c>
      <c r="C213" s="18" t="s">
        <v>70</v>
      </c>
      <c r="D213" s="18" t="s">
        <v>68</v>
      </c>
      <c r="E213" s="3" t="b">
        <f>ISTEXT(VLOOKUP(B213,Draft!$D$3:$D$400,1,FALSE))</f>
        <v>0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 ht="20">
      <c r="A214" s="31">
        <v>213</v>
      </c>
      <c r="B214" s="18" t="s">
        <v>345</v>
      </c>
      <c r="C214" s="18" t="s">
        <v>70</v>
      </c>
      <c r="D214" s="18" t="s">
        <v>58</v>
      </c>
      <c r="E214" s="3" t="b">
        <f>ISTEXT(VLOOKUP(B214,Draft!$D$3:$D$400,1,FALSE))</f>
        <v>0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 ht="20">
      <c r="A215" s="31">
        <v>214</v>
      </c>
      <c r="B215" s="18" t="s">
        <v>346</v>
      </c>
      <c r="C215" s="18" t="s">
        <v>70</v>
      </c>
      <c r="D215" s="18" t="s">
        <v>59</v>
      </c>
      <c r="E215" s="3" t="b">
        <f>ISTEXT(VLOOKUP(B215,Draft!$D$3:$D$400,1,FALSE))</f>
        <v>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 ht="20">
      <c r="A216" s="31">
        <v>215</v>
      </c>
      <c r="B216" s="18" t="s">
        <v>347</v>
      </c>
      <c r="C216" s="18" t="s">
        <v>70</v>
      </c>
      <c r="D216" s="18" t="s">
        <v>66</v>
      </c>
      <c r="E216" s="3" t="b">
        <f>ISTEXT(VLOOKUP(B216,Draft!$D$3:$D$400,1,FALSE))</f>
        <v>0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 ht="20">
      <c r="A217" s="31">
        <v>216</v>
      </c>
      <c r="B217" s="18" t="s">
        <v>348</v>
      </c>
      <c r="C217" s="18" t="s">
        <v>70</v>
      </c>
      <c r="D217" s="18" t="s">
        <v>65</v>
      </c>
      <c r="E217" s="3" t="b">
        <f>ISTEXT(VLOOKUP(B217,Draft!$D$3:$D$400,1,FALSE))</f>
        <v>0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 ht="20">
      <c r="A218" s="31">
        <v>217</v>
      </c>
      <c r="B218" s="18" t="s">
        <v>349</v>
      </c>
      <c r="C218" s="18" t="s">
        <v>70</v>
      </c>
      <c r="D218" s="18" t="s">
        <v>49</v>
      </c>
      <c r="E218" s="3" t="b">
        <f>ISTEXT(VLOOKUP(B218,Draft!$D$3:$D$400,1,FALSE))</f>
        <v>0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 ht="20">
      <c r="A219" s="31">
        <v>218</v>
      </c>
      <c r="B219" s="18" t="s">
        <v>350</v>
      </c>
      <c r="C219" s="18" t="s">
        <v>70</v>
      </c>
      <c r="D219" s="18" t="s">
        <v>47</v>
      </c>
      <c r="E219" s="3" t="b">
        <f>ISTEXT(VLOOKUP(B219,Draft!$D$3:$D$400,1,FALSE))</f>
        <v>0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 ht="20">
      <c r="A220" s="31">
        <v>219</v>
      </c>
      <c r="B220" s="18" t="s">
        <v>351</v>
      </c>
      <c r="C220" s="18" t="s">
        <v>70</v>
      </c>
      <c r="D220" s="18" t="s">
        <v>165</v>
      </c>
      <c r="E220" s="3" t="b">
        <f>ISTEXT(VLOOKUP(B220,Draft!$D$3:$D$400,1,FALSE))</f>
        <v>0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 ht="20">
      <c r="A221" s="31">
        <v>220</v>
      </c>
      <c r="B221" s="18" t="s">
        <v>352</v>
      </c>
      <c r="C221" s="18" t="s">
        <v>70</v>
      </c>
      <c r="D221" s="18" t="s">
        <v>68</v>
      </c>
      <c r="E221" s="3" t="b">
        <f>ISTEXT(VLOOKUP(B221,Draft!$D$3:$D$400,1,FALSE))</f>
        <v>0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 ht="20">
      <c r="A222" s="31">
        <v>221</v>
      </c>
      <c r="B222" s="18" t="s">
        <v>353</v>
      </c>
      <c r="C222" s="18" t="s">
        <v>70</v>
      </c>
      <c r="D222" s="18" t="s">
        <v>68</v>
      </c>
      <c r="E222" s="3" t="b">
        <f>ISTEXT(VLOOKUP(B222,Draft!$D$3:$D$400,1,FALSE))</f>
        <v>0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 ht="20">
      <c r="A223" s="31">
        <v>222</v>
      </c>
      <c r="B223" s="18" t="s">
        <v>354</v>
      </c>
      <c r="C223" s="18" t="s">
        <v>70</v>
      </c>
      <c r="D223" s="18" t="s">
        <v>48</v>
      </c>
      <c r="E223" s="3" t="b">
        <f>ISTEXT(VLOOKUP(B223,Draft!$D$3:$D$400,1,FALSE))</f>
        <v>0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 ht="20">
      <c r="A224" s="31">
        <v>223</v>
      </c>
      <c r="B224" s="18" t="s">
        <v>355</v>
      </c>
      <c r="C224" s="18" t="s">
        <v>70</v>
      </c>
      <c r="D224" s="18" t="s">
        <v>65</v>
      </c>
      <c r="E224" s="3" t="b">
        <f>ISTEXT(VLOOKUP(B224,Draft!$D$3:$D$400,1,FALSE))</f>
        <v>0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 ht="20">
      <c r="A225" s="31">
        <v>224</v>
      </c>
      <c r="B225" s="18" t="s">
        <v>356</v>
      </c>
      <c r="C225" s="18" t="s">
        <v>70</v>
      </c>
      <c r="D225" s="18" t="s">
        <v>66</v>
      </c>
      <c r="E225" s="3" t="b">
        <f>ISTEXT(VLOOKUP(B225,Draft!$D$3:$D$400,1,FALSE))</f>
        <v>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 ht="20">
      <c r="A226" s="31">
        <v>225</v>
      </c>
      <c r="B226" s="18" t="s">
        <v>357</v>
      </c>
      <c r="C226" s="18" t="s">
        <v>70</v>
      </c>
      <c r="D226" s="18" t="s">
        <v>7</v>
      </c>
      <c r="E226" s="3" t="b">
        <f>ISTEXT(VLOOKUP(B226,Draft!$D$3:$D$400,1,FALSE))</f>
        <v>0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 ht="20">
      <c r="A227" s="31">
        <v>226</v>
      </c>
      <c r="B227" s="18" t="s">
        <v>358</v>
      </c>
      <c r="C227" s="18" t="s">
        <v>70</v>
      </c>
      <c r="D227" s="18" t="s">
        <v>61</v>
      </c>
      <c r="E227" s="3" t="b">
        <f>ISTEXT(VLOOKUP(B227,Draft!$D$3:$D$400,1,FALSE))</f>
        <v>0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 ht="20">
      <c r="A228" s="31">
        <v>227</v>
      </c>
      <c r="B228" s="18" t="s">
        <v>359</v>
      </c>
      <c r="C228" s="18" t="s">
        <v>70</v>
      </c>
      <c r="D228" s="18" t="s">
        <v>57</v>
      </c>
      <c r="E228" s="3" t="b">
        <f>ISTEXT(VLOOKUP(B228,Draft!$D$3:$D$400,1,FALSE))</f>
        <v>0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 ht="20">
      <c r="A229" s="31">
        <v>228</v>
      </c>
      <c r="B229" s="18" t="s">
        <v>360</v>
      </c>
      <c r="C229" s="18" t="s">
        <v>70</v>
      </c>
      <c r="D229" s="18" t="s">
        <v>49</v>
      </c>
      <c r="E229" s="3" t="b">
        <f>ISTEXT(VLOOKUP(B229,Draft!$D$3:$D$400,1,FALSE))</f>
        <v>0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 ht="20">
      <c r="A230" s="31">
        <v>229</v>
      </c>
      <c r="B230" s="18" t="s">
        <v>361</v>
      </c>
      <c r="C230" s="18" t="s">
        <v>70</v>
      </c>
      <c r="D230" s="18" t="s">
        <v>46</v>
      </c>
      <c r="E230" s="3" t="b">
        <f>ISTEXT(VLOOKUP(B230,Draft!$D$3:$D$400,1,FALSE))</f>
        <v>0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 ht="20">
      <c r="A231" s="31">
        <v>230</v>
      </c>
      <c r="B231" s="18" t="s">
        <v>362</v>
      </c>
      <c r="C231" s="18" t="s">
        <v>70</v>
      </c>
      <c r="D231" s="18" t="s">
        <v>7</v>
      </c>
      <c r="E231" s="3" t="b">
        <f>ISTEXT(VLOOKUP(B231,Draft!$D$3:$D$400,1,FALSE))</f>
        <v>0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 ht="20">
      <c r="A232" s="31">
        <v>231</v>
      </c>
      <c r="B232" s="18" t="s">
        <v>363</v>
      </c>
      <c r="C232" s="18" t="s">
        <v>70</v>
      </c>
      <c r="D232" s="18" t="s">
        <v>63</v>
      </c>
      <c r="E232" s="3" t="b">
        <f>ISTEXT(VLOOKUP(B232,Draft!$D$3:$D$400,1,FALSE))</f>
        <v>0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 ht="20">
      <c r="A233" s="31">
        <v>232</v>
      </c>
      <c r="B233" s="18" t="s">
        <v>364</v>
      </c>
      <c r="C233" s="18" t="s">
        <v>70</v>
      </c>
      <c r="D233" s="18" t="s">
        <v>65</v>
      </c>
      <c r="E233" s="3" t="b">
        <f>ISTEXT(VLOOKUP(B233,Draft!$D$3:$D$400,1,FALSE))</f>
        <v>0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 ht="20">
      <c r="A234" s="31">
        <v>233</v>
      </c>
      <c r="B234" s="18" t="s">
        <v>365</v>
      </c>
      <c r="C234" s="18" t="s">
        <v>70</v>
      </c>
      <c r="D234" s="18" t="s">
        <v>12</v>
      </c>
      <c r="E234" s="3" t="b">
        <f>ISTEXT(VLOOKUP(B234,Draft!$D$3:$D$400,1,FALSE))</f>
        <v>0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 ht="20">
      <c r="A235" s="31">
        <v>234</v>
      </c>
      <c r="B235" s="18" t="s">
        <v>366</v>
      </c>
      <c r="C235" s="18" t="s">
        <v>70</v>
      </c>
      <c r="D235" s="18" t="s">
        <v>45</v>
      </c>
      <c r="E235" s="3" t="b">
        <f>ISTEXT(VLOOKUP(B235,Draft!$D$3:$D$400,1,FALSE))</f>
        <v>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 ht="20">
      <c r="A236" s="31">
        <v>235</v>
      </c>
      <c r="B236" s="18" t="s">
        <v>367</v>
      </c>
      <c r="C236" s="18" t="s">
        <v>70</v>
      </c>
      <c r="D236" s="18" t="s">
        <v>53</v>
      </c>
      <c r="E236" s="3" t="b">
        <f>ISTEXT(VLOOKUP(B236,Draft!$D$3:$D$400,1,FALSE))</f>
        <v>0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 ht="20">
      <c r="A237" s="31">
        <v>236</v>
      </c>
      <c r="B237" s="18" t="s">
        <v>368</v>
      </c>
      <c r="C237" s="18" t="s">
        <v>70</v>
      </c>
      <c r="D237" s="18" t="s">
        <v>54</v>
      </c>
      <c r="E237" s="3" t="b">
        <f>ISTEXT(VLOOKUP(B237,Draft!$D$3:$D$400,1,FALSE))</f>
        <v>0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 ht="20">
      <c r="A238" s="31">
        <v>237</v>
      </c>
      <c r="B238" s="18" t="s">
        <v>369</v>
      </c>
      <c r="C238" s="18" t="s">
        <v>70</v>
      </c>
      <c r="D238" s="18" t="s">
        <v>64</v>
      </c>
      <c r="E238" s="3" t="b">
        <f>ISTEXT(VLOOKUP(B238,Draft!$D$3:$D$400,1,FALSE))</f>
        <v>0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 ht="20">
      <c r="A239" s="31">
        <v>238</v>
      </c>
      <c r="B239" s="18" t="s">
        <v>370</v>
      </c>
      <c r="C239" s="18" t="s">
        <v>70</v>
      </c>
      <c r="D239" s="18" t="s">
        <v>14</v>
      </c>
      <c r="E239" s="3" t="b">
        <f>ISTEXT(VLOOKUP(B239,Draft!$D$3:$D$400,1,FALSE))</f>
        <v>0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 ht="20">
      <c r="A240" s="31">
        <v>239</v>
      </c>
      <c r="B240" s="18" t="s">
        <v>371</v>
      </c>
      <c r="C240" s="18" t="s">
        <v>70</v>
      </c>
      <c r="D240" s="18" t="s">
        <v>45</v>
      </c>
      <c r="E240" s="3" t="b">
        <f>ISTEXT(VLOOKUP(B240,Draft!$D$3:$D$400,1,FALSE))</f>
        <v>0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 ht="20">
      <c r="A241" s="31">
        <v>240</v>
      </c>
      <c r="B241" s="18" t="s">
        <v>372</v>
      </c>
      <c r="C241" s="18" t="s">
        <v>70</v>
      </c>
      <c r="D241" s="18" t="s">
        <v>45</v>
      </c>
      <c r="E241" s="3" t="b">
        <f>ISTEXT(VLOOKUP(B241,Draft!$D$3:$D$400,1,FALSE))</f>
        <v>0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 ht="20">
      <c r="A242" s="31">
        <v>241</v>
      </c>
      <c r="B242" s="18" t="s">
        <v>373</v>
      </c>
      <c r="C242" s="18" t="s">
        <v>70</v>
      </c>
      <c r="D242" s="18" t="s">
        <v>51</v>
      </c>
      <c r="E242" s="3" t="b">
        <f>ISTEXT(VLOOKUP(B242,Draft!$D$3:$D$400,1,FALSE))</f>
        <v>0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 ht="20">
      <c r="A243" s="31">
        <v>242</v>
      </c>
      <c r="B243" s="18" t="s">
        <v>374</v>
      </c>
      <c r="C243" s="18" t="s">
        <v>70</v>
      </c>
      <c r="D243" s="18" t="s">
        <v>5</v>
      </c>
      <c r="E243" s="3" t="b">
        <f>ISTEXT(VLOOKUP(B243,Draft!$D$3:$D$400,1,FALSE))</f>
        <v>0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 ht="20">
      <c r="A244" s="31">
        <v>243</v>
      </c>
      <c r="B244" s="18" t="s">
        <v>375</v>
      </c>
      <c r="C244" s="18" t="s">
        <v>70</v>
      </c>
      <c r="D244" s="18" t="s">
        <v>62</v>
      </c>
      <c r="E244" s="3" t="b">
        <f>ISTEXT(VLOOKUP(B244,Draft!$D$3:$D$400,1,FALSE))</f>
        <v>0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 ht="20">
      <c r="A245" s="31">
        <v>244</v>
      </c>
      <c r="B245" s="18" t="s">
        <v>376</v>
      </c>
      <c r="C245" s="18" t="s">
        <v>70</v>
      </c>
      <c r="D245" s="18" t="s">
        <v>45</v>
      </c>
      <c r="E245" s="3" t="b">
        <f>ISTEXT(VLOOKUP(B245,Draft!$D$3:$D$400,1,FALSE))</f>
        <v>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 ht="20">
      <c r="A246" s="31">
        <v>245</v>
      </c>
      <c r="B246" s="18" t="s">
        <v>377</v>
      </c>
      <c r="C246" s="18" t="s">
        <v>70</v>
      </c>
      <c r="D246" s="18" t="s">
        <v>10</v>
      </c>
      <c r="E246" s="3" t="b">
        <f>ISTEXT(VLOOKUP(B246,Draft!$D$3:$D$400,1,FALSE))</f>
        <v>0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 ht="20">
      <c r="A247" s="31">
        <v>246</v>
      </c>
      <c r="B247" s="18" t="s">
        <v>378</v>
      </c>
      <c r="C247" s="18" t="s">
        <v>70</v>
      </c>
      <c r="D247" s="18" t="s">
        <v>51</v>
      </c>
      <c r="E247" s="3" t="b">
        <f>ISTEXT(VLOOKUP(B247,Draft!$D$3:$D$400,1,FALSE))</f>
        <v>0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 ht="20">
      <c r="A248" s="31">
        <v>247</v>
      </c>
      <c r="B248" s="18" t="s">
        <v>379</v>
      </c>
      <c r="C248" s="18" t="s">
        <v>70</v>
      </c>
      <c r="D248" s="18" t="s">
        <v>52</v>
      </c>
      <c r="E248" s="3" t="b">
        <f>ISTEXT(VLOOKUP(B248,Draft!$D$3:$D$400,1,FALSE))</f>
        <v>0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 ht="20">
      <c r="A249" s="31">
        <v>248</v>
      </c>
      <c r="B249" s="18" t="s">
        <v>380</v>
      </c>
      <c r="C249" s="18" t="s">
        <v>70</v>
      </c>
      <c r="D249" s="18" t="s">
        <v>56</v>
      </c>
      <c r="E249" s="3" t="b">
        <f>ISTEXT(VLOOKUP(B249,Draft!$D$3:$D$400,1,FALSE))</f>
        <v>0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 ht="20">
      <c r="A250" s="31">
        <v>249</v>
      </c>
      <c r="B250" s="18" t="s">
        <v>381</v>
      </c>
      <c r="C250" s="18" t="s">
        <v>70</v>
      </c>
      <c r="D250" s="18" t="s">
        <v>54</v>
      </c>
      <c r="E250" s="3" t="b">
        <f>ISTEXT(VLOOKUP(B250,Draft!$D$3:$D$400,1,FALSE))</f>
        <v>0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 ht="20">
      <c r="A251" s="31">
        <v>250</v>
      </c>
      <c r="B251" s="18" t="s">
        <v>382</v>
      </c>
      <c r="C251" s="18" t="s">
        <v>70</v>
      </c>
      <c r="D251" s="18" t="s">
        <v>47</v>
      </c>
      <c r="E251" s="3" t="b">
        <f>ISTEXT(VLOOKUP(B251,Draft!$D$3:$D$400,1,FALSE))</f>
        <v>0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 ht="20">
      <c r="A252" s="31">
        <v>251</v>
      </c>
      <c r="B252" s="18" t="s">
        <v>383</v>
      </c>
      <c r="C252" s="18" t="s">
        <v>70</v>
      </c>
      <c r="D252" s="18" t="s">
        <v>58</v>
      </c>
      <c r="E252" s="3" t="b">
        <f>ISTEXT(VLOOKUP(B252,Draft!$D$3:$D$400,1,FALSE))</f>
        <v>0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 ht="20">
      <c r="A253" s="31">
        <v>252</v>
      </c>
      <c r="B253" s="18" t="s">
        <v>384</v>
      </c>
      <c r="C253" s="18" t="s">
        <v>70</v>
      </c>
      <c r="D253" s="18" t="s">
        <v>66</v>
      </c>
      <c r="E253" s="3" t="b">
        <f>ISTEXT(VLOOKUP(B253,Draft!$D$3:$D$400,1,FALSE))</f>
        <v>0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 ht="20">
      <c r="A254" s="31">
        <v>253</v>
      </c>
      <c r="B254" s="18" t="s">
        <v>385</v>
      </c>
      <c r="C254" s="18" t="s">
        <v>70</v>
      </c>
      <c r="D254" s="18" t="s">
        <v>165</v>
      </c>
      <c r="E254" s="3" t="b">
        <f>ISTEXT(VLOOKUP(B254,Draft!$D$3:$D$400,1,FALSE))</f>
        <v>0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 ht="20">
      <c r="A255" s="31">
        <v>254</v>
      </c>
      <c r="B255" s="18" t="s">
        <v>386</v>
      </c>
      <c r="C255" s="18" t="s">
        <v>70</v>
      </c>
      <c r="D255" s="18" t="s">
        <v>14</v>
      </c>
      <c r="E255" s="3" t="b">
        <f>ISTEXT(VLOOKUP(B255,Draft!$D$3:$D$400,1,FALSE))</f>
        <v>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 ht="20">
      <c r="A256" s="31">
        <v>255</v>
      </c>
      <c r="B256" s="18" t="s">
        <v>387</v>
      </c>
      <c r="C256" s="18" t="s">
        <v>70</v>
      </c>
      <c r="D256" s="18" t="s">
        <v>65</v>
      </c>
      <c r="E256" s="3" t="b">
        <f>ISTEXT(VLOOKUP(B256,Draft!$D$3:$D$400,1,FALSE))</f>
        <v>0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ht="20">
      <c r="A257" s="31">
        <v>256</v>
      </c>
      <c r="B257" s="18" t="s">
        <v>388</v>
      </c>
      <c r="C257" s="18" t="s">
        <v>70</v>
      </c>
      <c r="D257" s="18" t="s">
        <v>69</v>
      </c>
      <c r="E257" s="3" t="b">
        <f>ISTEXT(VLOOKUP(B257,Draft!$D$3:$D$400,1,FALSE))</f>
        <v>0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ht="20">
      <c r="A258" s="31">
        <v>257</v>
      </c>
      <c r="B258" s="18" t="s">
        <v>389</v>
      </c>
      <c r="C258" s="18" t="s">
        <v>70</v>
      </c>
      <c r="D258" s="18" t="s">
        <v>46</v>
      </c>
      <c r="E258" s="3" t="b">
        <f>ISTEXT(VLOOKUP(B258,Draft!$D$3:$D$400,1,FALSE))</f>
        <v>0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ht="20">
      <c r="A259" s="31">
        <v>258</v>
      </c>
      <c r="B259" s="18" t="s">
        <v>390</v>
      </c>
      <c r="C259" s="18" t="s">
        <v>70</v>
      </c>
      <c r="D259" s="18" t="s">
        <v>62</v>
      </c>
      <c r="E259" s="3" t="b">
        <f>ISTEXT(VLOOKUP(B259,Draft!$D$3:$D$400,1,FALSE))</f>
        <v>0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ht="20">
      <c r="A260" s="31">
        <v>259</v>
      </c>
      <c r="B260" s="18" t="s">
        <v>391</v>
      </c>
      <c r="C260" s="18" t="s">
        <v>70</v>
      </c>
      <c r="D260" s="18" t="s">
        <v>69</v>
      </c>
      <c r="E260" s="3" t="b">
        <f>ISTEXT(VLOOKUP(B260,Draft!$D$3:$D$400,1,FALSE))</f>
        <v>0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ht="20">
      <c r="A261" s="31">
        <v>260</v>
      </c>
      <c r="B261" s="18" t="s">
        <v>392</v>
      </c>
      <c r="C261" s="18" t="s">
        <v>70</v>
      </c>
      <c r="D261" s="18" t="s">
        <v>60</v>
      </c>
      <c r="E261" s="3" t="b">
        <f>ISTEXT(VLOOKUP(B261,Draft!$D$3:$D$400,1,FALSE))</f>
        <v>0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ht="20">
      <c r="A262" s="31">
        <v>261</v>
      </c>
      <c r="B262" s="18" t="s">
        <v>393</v>
      </c>
      <c r="C262" s="18" t="s">
        <v>70</v>
      </c>
      <c r="D262" s="18" t="s">
        <v>59</v>
      </c>
      <c r="E262" s="3" t="b">
        <f>ISTEXT(VLOOKUP(B262,Draft!$D$3:$D$400,1,FALSE))</f>
        <v>0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ht="20">
      <c r="A263" s="31">
        <v>262</v>
      </c>
      <c r="B263" s="18" t="s">
        <v>394</v>
      </c>
      <c r="C263" s="18" t="s">
        <v>70</v>
      </c>
      <c r="D263" s="18" t="s">
        <v>50</v>
      </c>
      <c r="E263" s="3" t="b">
        <f>ISTEXT(VLOOKUP(B263,Draft!$D$3:$D$400,1,FALSE))</f>
        <v>0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ht="20">
      <c r="A264" s="31">
        <v>263</v>
      </c>
      <c r="B264" s="18" t="s">
        <v>395</v>
      </c>
      <c r="C264" s="18" t="s">
        <v>70</v>
      </c>
      <c r="D264" s="18" t="s">
        <v>54</v>
      </c>
      <c r="E264" s="3" t="b">
        <f>ISTEXT(VLOOKUP(B264,Draft!$D$3:$D$400,1,FALSE))</f>
        <v>0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ht="20">
      <c r="A265" s="31">
        <v>264</v>
      </c>
      <c r="B265" s="18" t="s">
        <v>396</v>
      </c>
      <c r="C265" s="18" t="s">
        <v>70</v>
      </c>
      <c r="D265" s="18" t="s">
        <v>49</v>
      </c>
      <c r="E265" s="3" t="b">
        <f>ISTEXT(VLOOKUP(B265,Draft!$D$3:$D$400,1,FALSE))</f>
        <v>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ht="20">
      <c r="A266" s="31">
        <v>265</v>
      </c>
      <c r="B266" s="18" t="s">
        <v>397</v>
      </c>
      <c r="C266" s="18" t="s">
        <v>70</v>
      </c>
      <c r="D266" s="18" t="s">
        <v>66</v>
      </c>
      <c r="E266" s="3" t="b">
        <f>ISTEXT(VLOOKUP(B266,Draft!$D$3:$D$400,1,FALSE))</f>
        <v>0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ht="20">
      <c r="A267" s="31">
        <v>266</v>
      </c>
      <c r="B267" s="18" t="s">
        <v>398</v>
      </c>
      <c r="C267" s="18" t="s">
        <v>70</v>
      </c>
      <c r="D267" s="18" t="s">
        <v>56</v>
      </c>
      <c r="E267" s="3" t="b">
        <f>ISTEXT(VLOOKUP(B267,Draft!$D$3:$D$400,1,FALSE))</f>
        <v>0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ht="20">
      <c r="A268" s="31">
        <v>267</v>
      </c>
      <c r="B268" s="18" t="s">
        <v>399</v>
      </c>
      <c r="C268" s="18" t="s">
        <v>70</v>
      </c>
      <c r="D268" s="18" t="s">
        <v>17</v>
      </c>
      <c r="E268" s="3" t="b">
        <f>ISTEXT(VLOOKUP(B268,Draft!$D$3:$D$400,1,FALSE))</f>
        <v>0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ht="20">
      <c r="A269" s="31">
        <v>268</v>
      </c>
      <c r="B269" s="18" t="s">
        <v>400</v>
      </c>
      <c r="C269" s="18" t="s">
        <v>70</v>
      </c>
      <c r="D269" s="18" t="s">
        <v>50</v>
      </c>
      <c r="E269" s="3" t="b">
        <f>ISTEXT(VLOOKUP(B269,Draft!$D$3:$D$400,1,FALSE))</f>
        <v>0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ht="20">
      <c r="A270" s="31">
        <v>269</v>
      </c>
      <c r="B270" s="18" t="s">
        <v>401</v>
      </c>
      <c r="C270" s="18" t="s">
        <v>70</v>
      </c>
      <c r="D270" s="18" t="s">
        <v>65</v>
      </c>
      <c r="E270" s="3" t="b">
        <f>ISTEXT(VLOOKUP(B270,Draft!$D$3:$D$400,1,FALSE))</f>
        <v>0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ht="20">
      <c r="A271" s="31">
        <v>270</v>
      </c>
      <c r="B271" s="18" t="s">
        <v>402</v>
      </c>
      <c r="C271" s="18" t="s">
        <v>70</v>
      </c>
      <c r="D271" s="18" t="s">
        <v>64</v>
      </c>
      <c r="E271" s="3" t="b">
        <f>ISTEXT(VLOOKUP(B271,Draft!$D$3:$D$400,1,FALSE))</f>
        <v>0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ht="20">
      <c r="A272" s="31">
        <v>271</v>
      </c>
      <c r="B272" s="18" t="s">
        <v>403</v>
      </c>
      <c r="C272" s="18" t="s">
        <v>70</v>
      </c>
      <c r="D272" s="18" t="s">
        <v>165</v>
      </c>
      <c r="E272" s="3" t="b">
        <f>ISTEXT(VLOOKUP(B272,Draft!$D$3:$D$400,1,FALSE))</f>
        <v>0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ht="20">
      <c r="A273" s="31">
        <v>272</v>
      </c>
      <c r="B273" s="18" t="s">
        <v>404</v>
      </c>
      <c r="C273" s="18" t="s">
        <v>71</v>
      </c>
      <c r="D273" s="18" t="s">
        <v>12</v>
      </c>
      <c r="E273" s="3" t="b">
        <f>ISTEXT(VLOOKUP(B273,Draft!$D$3:$D$400,1,FALSE))</f>
        <v>0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ht="20">
      <c r="A274" s="31">
        <v>273</v>
      </c>
      <c r="B274" s="18" t="s">
        <v>405</v>
      </c>
      <c r="C274" s="18" t="s">
        <v>71</v>
      </c>
      <c r="D274" s="18" t="s">
        <v>63</v>
      </c>
      <c r="E274" s="3" t="b">
        <f>ISTEXT(VLOOKUP(B274,Draft!$D$3:$D$400,1,FALSE))</f>
        <v>0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ht="20">
      <c r="A275" s="31">
        <v>274</v>
      </c>
      <c r="B275" s="18" t="s">
        <v>406</v>
      </c>
      <c r="C275" s="18" t="s">
        <v>71</v>
      </c>
      <c r="D275" s="18" t="s">
        <v>53</v>
      </c>
      <c r="E275" s="3" t="b">
        <f>ISTEXT(VLOOKUP(B275,Draft!$D$3:$D$400,1,FALSE))</f>
        <v>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ht="20">
      <c r="A276" s="31">
        <v>275</v>
      </c>
      <c r="B276" s="18" t="s">
        <v>407</v>
      </c>
      <c r="C276" s="18" t="s">
        <v>71</v>
      </c>
      <c r="D276" s="18" t="s">
        <v>58</v>
      </c>
      <c r="E276" s="3" t="b">
        <f>ISTEXT(VLOOKUP(B276,Draft!$D$3:$D$400,1,FALSE))</f>
        <v>0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ht="20">
      <c r="A277" s="31">
        <v>276</v>
      </c>
      <c r="B277" s="18" t="s">
        <v>408</v>
      </c>
      <c r="C277" s="18" t="s">
        <v>71</v>
      </c>
      <c r="D277" s="18" t="s">
        <v>10</v>
      </c>
      <c r="E277" s="3" t="b">
        <f>ISTEXT(VLOOKUP(B277,Draft!$D$3:$D$400,1,FALSE))</f>
        <v>0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ht="20">
      <c r="A278" s="31">
        <v>277</v>
      </c>
      <c r="B278" s="18" t="s">
        <v>409</v>
      </c>
      <c r="C278" s="18" t="s">
        <v>71</v>
      </c>
      <c r="D278" s="18" t="s">
        <v>63</v>
      </c>
      <c r="E278" s="3" t="b">
        <f>ISTEXT(VLOOKUP(B278,Draft!$D$3:$D$400,1,FALSE))</f>
        <v>0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ht="20">
      <c r="A279" s="31">
        <v>278</v>
      </c>
      <c r="B279" s="18" t="s">
        <v>410</v>
      </c>
      <c r="C279" s="18" t="s">
        <v>71</v>
      </c>
      <c r="D279" s="18" t="s">
        <v>52</v>
      </c>
      <c r="E279" s="3" t="b">
        <f>ISTEXT(VLOOKUP(B279,Draft!$D$3:$D$400,1,FALSE))</f>
        <v>0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ht="20">
      <c r="A280" s="31">
        <v>279</v>
      </c>
      <c r="B280" s="18" t="s">
        <v>411</v>
      </c>
      <c r="C280" s="18" t="s">
        <v>71</v>
      </c>
      <c r="D280" s="18" t="s">
        <v>52</v>
      </c>
      <c r="E280" s="3" t="b">
        <f>ISTEXT(VLOOKUP(B280,Draft!$D$3:$D$400,1,FALSE))</f>
        <v>0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ht="20">
      <c r="A281" s="31">
        <v>280</v>
      </c>
      <c r="B281" s="18" t="s">
        <v>412</v>
      </c>
      <c r="C281" s="18" t="s">
        <v>71</v>
      </c>
      <c r="D281" s="18" t="s">
        <v>5</v>
      </c>
      <c r="E281" s="3" t="b">
        <f>ISTEXT(VLOOKUP(B281,Draft!$D$3:$D$400,1,FALSE))</f>
        <v>0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ht="20">
      <c r="A282" s="31">
        <v>281</v>
      </c>
      <c r="B282" s="18" t="s">
        <v>413</v>
      </c>
      <c r="C282" s="18" t="s">
        <v>71</v>
      </c>
      <c r="D282" s="18" t="s">
        <v>47</v>
      </c>
      <c r="E282" s="3" t="b">
        <f>ISTEXT(VLOOKUP(B282,Draft!$D$3:$D$400,1,FALSE))</f>
        <v>0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ht="20">
      <c r="A283" s="31">
        <v>282</v>
      </c>
      <c r="B283" s="18" t="s">
        <v>414</v>
      </c>
      <c r="C283" s="18" t="s">
        <v>71</v>
      </c>
      <c r="D283" s="18" t="s">
        <v>51</v>
      </c>
      <c r="E283" s="3" t="b">
        <f>ISTEXT(VLOOKUP(B283,Draft!$D$3:$D$400,1,FALSE))</f>
        <v>0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ht="20">
      <c r="A284" s="31">
        <v>283</v>
      </c>
      <c r="B284" s="18" t="s">
        <v>415</v>
      </c>
      <c r="C284" s="18" t="s">
        <v>71</v>
      </c>
      <c r="D284" s="18" t="s">
        <v>49</v>
      </c>
      <c r="E284" s="3" t="b">
        <f>ISTEXT(VLOOKUP(B284,Draft!$D$3:$D$400,1,FALSE))</f>
        <v>0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ht="20">
      <c r="A285" s="31">
        <v>284</v>
      </c>
      <c r="B285" s="18" t="s">
        <v>416</v>
      </c>
      <c r="C285" s="18" t="s">
        <v>71</v>
      </c>
      <c r="D285" s="18" t="s">
        <v>45</v>
      </c>
      <c r="E285" s="3" t="b">
        <f>ISTEXT(VLOOKUP(B285,Draft!$D$3:$D$400,1,FALSE))</f>
        <v>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ht="20">
      <c r="A286" s="31">
        <v>285</v>
      </c>
      <c r="B286" s="18" t="s">
        <v>417</v>
      </c>
      <c r="C286" s="18" t="s">
        <v>71</v>
      </c>
      <c r="D286" s="18" t="s">
        <v>62</v>
      </c>
      <c r="E286" s="3" t="b">
        <f>ISTEXT(VLOOKUP(B286,Draft!$D$3:$D$400,1,FALSE))</f>
        <v>0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ht="20">
      <c r="A287" s="31">
        <v>286</v>
      </c>
      <c r="B287" s="18" t="s">
        <v>418</v>
      </c>
      <c r="C287" s="18" t="s">
        <v>71</v>
      </c>
      <c r="D287" s="18" t="s">
        <v>17</v>
      </c>
      <c r="E287" s="3" t="b">
        <f>ISTEXT(VLOOKUP(B287,Draft!$D$3:$D$400,1,FALSE))</f>
        <v>0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ht="20">
      <c r="A288" s="31">
        <v>287</v>
      </c>
      <c r="B288" s="18" t="s">
        <v>419</v>
      </c>
      <c r="C288" s="18" t="s">
        <v>71</v>
      </c>
      <c r="D288" s="18" t="s">
        <v>52</v>
      </c>
      <c r="E288" s="3" t="b">
        <f>ISTEXT(VLOOKUP(B288,Draft!$D$3:$D$400,1,FALSE))</f>
        <v>0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ht="20">
      <c r="A289" s="31">
        <v>288</v>
      </c>
      <c r="B289" s="18" t="s">
        <v>420</v>
      </c>
      <c r="C289" s="18" t="s">
        <v>71</v>
      </c>
      <c r="D289" s="18" t="s">
        <v>56</v>
      </c>
      <c r="E289" s="3" t="b">
        <f>ISTEXT(VLOOKUP(B289,Draft!$D$3:$D$400,1,FALSE))</f>
        <v>0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ht="20">
      <c r="A290" s="31">
        <v>289</v>
      </c>
      <c r="B290" s="18" t="s">
        <v>421</v>
      </c>
      <c r="C290" s="18" t="s">
        <v>71</v>
      </c>
      <c r="D290" s="18" t="s">
        <v>63</v>
      </c>
      <c r="E290" s="3" t="b">
        <f>ISTEXT(VLOOKUP(B290,Draft!$D$3:$D$400,1,FALSE))</f>
        <v>0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ht="20">
      <c r="A291" s="31">
        <v>290</v>
      </c>
      <c r="B291" s="18" t="s">
        <v>422</v>
      </c>
      <c r="C291" s="18" t="s">
        <v>71</v>
      </c>
      <c r="D291" s="18" t="s">
        <v>54</v>
      </c>
      <c r="E291" s="3" t="b">
        <f>ISTEXT(VLOOKUP(B291,Draft!$D$3:$D$400,1,FALSE))</f>
        <v>0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ht="20">
      <c r="A292" s="31">
        <v>291</v>
      </c>
      <c r="B292" s="18" t="s">
        <v>423</v>
      </c>
      <c r="C292" s="18" t="s">
        <v>71</v>
      </c>
      <c r="D292" s="18" t="s">
        <v>54</v>
      </c>
      <c r="E292" s="3" t="b">
        <f>ISTEXT(VLOOKUP(B292,Draft!$D$3:$D$400,1,FALSE))</f>
        <v>0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ht="20">
      <c r="A293" s="31">
        <v>292</v>
      </c>
      <c r="B293" s="18" t="s">
        <v>424</v>
      </c>
      <c r="C293" s="18" t="s">
        <v>71</v>
      </c>
      <c r="D293" s="18" t="s">
        <v>53</v>
      </c>
      <c r="E293" s="3" t="b">
        <f>ISTEXT(VLOOKUP(B293,Draft!$D$3:$D$400,1,FALSE))</f>
        <v>0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ht="20">
      <c r="A294" s="31">
        <v>293</v>
      </c>
      <c r="B294" s="18" t="s">
        <v>425</v>
      </c>
      <c r="C294" s="18" t="s">
        <v>71</v>
      </c>
      <c r="D294" s="18" t="s">
        <v>45</v>
      </c>
      <c r="E294" s="3" t="b">
        <f>ISTEXT(VLOOKUP(B294,Draft!$D$3:$D$400,1,FALSE))</f>
        <v>0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ht="20">
      <c r="A295" s="31">
        <v>294</v>
      </c>
      <c r="B295" s="18" t="s">
        <v>426</v>
      </c>
      <c r="C295" s="18" t="s">
        <v>71</v>
      </c>
      <c r="D295" s="18" t="s">
        <v>47</v>
      </c>
      <c r="E295" s="3" t="b">
        <f>ISTEXT(VLOOKUP(B295,Draft!$D$3:$D$400,1,FALSE))</f>
        <v>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ht="20">
      <c r="A296" s="31">
        <v>295</v>
      </c>
      <c r="B296" s="18" t="s">
        <v>427</v>
      </c>
      <c r="C296" s="18" t="s">
        <v>71</v>
      </c>
      <c r="D296" s="18" t="s">
        <v>56</v>
      </c>
      <c r="E296" s="3" t="b">
        <f>ISTEXT(VLOOKUP(B296,Draft!$D$3:$D$400,1,FALSE))</f>
        <v>0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ht="20">
      <c r="A297" s="31">
        <v>296</v>
      </c>
      <c r="B297" s="18" t="s">
        <v>428</v>
      </c>
      <c r="C297" s="18" t="s">
        <v>71</v>
      </c>
      <c r="D297" s="18" t="s">
        <v>15</v>
      </c>
      <c r="E297" s="3" t="b">
        <f>ISTEXT(VLOOKUP(B297,Draft!$D$3:$D$400,1,FALSE))</f>
        <v>0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ht="20">
      <c r="A298" s="31">
        <v>297</v>
      </c>
      <c r="B298" s="18" t="s">
        <v>429</v>
      </c>
      <c r="C298" s="18" t="s">
        <v>71</v>
      </c>
      <c r="D298" s="18" t="s">
        <v>53</v>
      </c>
      <c r="E298" s="3" t="b">
        <f>ISTEXT(VLOOKUP(B298,Draft!$D$3:$D$400,1,FALSE))</f>
        <v>0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ht="20">
      <c r="A299" s="31">
        <v>298</v>
      </c>
      <c r="B299" s="18" t="s">
        <v>430</v>
      </c>
      <c r="C299" s="18" t="s">
        <v>71</v>
      </c>
      <c r="D299" s="18" t="s">
        <v>14</v>
      </c>
      <c r="E299" s="3" t="b">
        <f>ISTEXT(VLOOKUP(B299,Draft!$D$3:$D$400,1,FALSE))</f>
        <v>0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ht="20">
      <c r="A300" s="31">
        <v>299</v>
      </c>
      <c r="B300" s="18" t="s">
        <v>431</v>
      </c>
      <c r="C300" s="18" t="s">
        <v>71</v>
      </c>
      <c r="D300" s="18" t="s">
        <v>56</v>
      </c>
      <c r="E300" s="3" t="b">
        <f>ISTEXT(VLOOKUP(B300,Draft!$D$3:$D$400,1,FALSE))</f>
        <v>0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ht="20">
      <c r="A301" s="31">
        <v>300</v>
      </c>
      <c r="B301" s="18" t="s">
        <v>432</v>
      </c>
      <c r="C301" s="18" t="s">
        <v>71</v>
      </c>
      <c r="D301" s="18" t="s">
        <v>12</v>
      </c>
      <c r="E301" s="3" t="b">
        <f>ISTEXT(VLOOKUP(B301,Draft!$D$3:$D$400,1,FALSE))</f>
        <v>0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ht="20">
      <c r="A302" s="31">
        <v>301</v>
      </c>
      <c r="B302" s="18" t="s">
        <v>433</v>
      </c>
      <c r="C302" s="18" t="s">
        <v>71</v>
      </c>
      <c r="D302" s="18" t="s">
        <v>7</v>
      </c>
      <c r="E302" s="3" t="b">
        <f>ISTEXT(VLOOKUP(B302,Draft!$D$3:$D$400,1,FALSE))</f>
        <v>0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ht="20">
      <c r="A303" s="31">
        <v>302</v>
      </c>
      <c r="B303" s="18" t="s">
        <v>434</v>
      </c>
      <c r="C303" s="18" t="s">
        <v>71</v>
      </c>
      <c r="D303" s="18" t="s">
        <v>7</v>
      </c>
      <c r="E303" s="3" t="b">
        <f>ISTEXT(VLOOKUP(B303,Draft!$D$3:$D$400,1,FALSE))</f>
        <v>0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ht="20">
      <c r="A304" s="31">
        <v>303</v>
      </c>
      <c r="B304" s="18" t="s">
        <v>435</v>
      </c>
      <c r="C304" s="18" t="s">
        <v>71</v>
      </c>
      <c r="D304" s="18" t="s">
        <v>64</v>
      </c>
      <c r="E304" s="3" t="b">
        <f>ISTEXT(VLOOKUP(B304,Draft!$D$3:$D$400,1,FALSE))</f>
        <v>0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ht="20">
      <c r="A305" s="31">
        <v>304</v>
      </c>
      <c r="B305" s="18" t="s">
        <v>436</v>
      </c>
      <c r="C305" s="18" t="s">
        <v>71</v>
      </c>
      <c r="D305" s="18" t="s">
        <v>7</v>
      </c>
      <c r="E305" s="3" t="b">
        <f>ISTEXT(VLOOKUP(B305,Draft!$D$3:$D$400,1,FALSE))</f>
        <v>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ht="20">
      <c r="A306" s="31">
        <v>305</v>
      </c>
      <c r="B306" s="18" t="s">
        <v>437</v>
      </c>
      <c r="C306" s="18" t="s">
        <v>71</v>
      </c>
      <c r="D306" s="18" t="s">
        <v>68</v>
      </c>
      <c r="E306" s="3" t="b">
        <f>ISTEXT(VLOOKUP(B306,Draft!$D$3:$D$400,1,FALSE))</f>
        <v>0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ht="20">
      <c r="A307" s="31">
        <v>306</v>
      </c>
      <c r="B307" s="18" t="s">
        <v>438</v>
      </c>
      <c r="C307" s="18" t="s">
        <v>71</v>
      </c>
      <c r="D307" s="18" t="s">
        <v>63</v>
      </c>
      <c r="E307" s="3" t="b">
        <f>ISTEXT(VLOOKUP(B307,Draft!$D$3:$D$400,1,FALSE))</f>
        <v>0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ht="20">
      <c r="A308" s="31">
        <v>307</v>
      </c>
      <c r="B308" s="18" t="s">
        <v>439</v>
      </c>
      <c r="C308" s="18" t="s">
        <v>71</v>
      </c>
      <c r="D308" s="18" t="s">
        <v>45</v>
      </c>
      <c r="E308" s="3" t="b">
        <f>ISTEXT(VLOOKUP(B308,Draft!$D$3:$D$400,1,FALSE))</f>
        <v>0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ht="20">
      <c r="A309" s="31">
        <v>308</v>
      </c>
      <c r="B309" s="18" t="s">
        <v>440</v>
      </c>
      <c r="C309" s="18" t="s">
        <v>71</v>
      </c>
      <c r="D309" s="18" t="s">
        <v>68</v>
      </c>
      <c r="E309" s="3" t="b">
        <f>ISTEXT(VLOOKUP(B309,Draft!$D$3:$D$400,1,FALSE))</f>
        <v>0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ht="20">
      <c r="A310" s="31">
        <v>309</v>
      </c>
      <c r="B310" s="18" t="s">
        <v>441</v>
      </c>
      <c r="C310" s="18" t="s">
        <v>71</v>
      </c>
      <c r="D310" s="18" t="s">
        <v>165</v>
      </c>
      <c r="E310" s="3" t="b">
        <f>ISTEXT(VLOOKUP(B310,Draft!$D$3:$D$400,1,FALSE))</f>
        <v>0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ht="20">
      <c r="A311" s="31">
        <v>310</v>
      </c>
      <c r="B311" s="18" t="s">
        <v>442</v>
      </c>
      <c r="C311" s="18" t="s">
        <v>71</v>
      </c>
      <c r="D311" s="18" t="s">
        <v>51</v>
      </c>
      <c r="E311" s="3" t="b">
        <f>ISTEXT(VLOOKUP(B311,Draft!$D$3:$D$400,1,FALSE))</f>
        <v>0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ht="20">
      <c r="A312" s="31">
        <v>311</v>
      </c>
      <c r="B312" s="18" t="s">
        <v>443</v>
      </c>
      <c r="C312" s="18" t="s">
        <v>71</v>
      </c>
      <c r="D312" s="18" t="s">
        <v>65</v>
      </c>
      <c r="E312" s="3" t="b">
        <f>ISTEXT(VLOOKUP(B312,Draft!$D$3:$D$400,1,FALSE))</f>
        <v>0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ht="20">
      <c r="A313" s="31">
        <v>312</v>
      </c>
      <c r="B313" s="18" t="s">
        <v>444</v>
      </c>
      <c r="C313" s="18" t="s">
        <v>71</v>
      </c>
      <c r="D313" s="18" t="s">
        <v>10</v>
      </c>
      <c r="E313" s="3" t="b">
        <f>ISTEXT(VLOOKUP(B313,Draft!$D$3:$D$400,1,FALSE))</f>
        <v>0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ht="20">
      <c r="A314" s="31">
        <v>313</v>
      </c>
      <c r="B314" s="18" t="s">
        <v>445</v>
      </c>
      <c r="C314" s="18" t="s">
        <v>71</v>
      </c>
      <c r="D314" s="18" t="s">
        <v>14</v>
      </c>
      <c r="E314" s="3" t="b">
        <f>ISTEXT(VLOOKUP(B314,Draft!$D$3:$D$400,1,FALSE))</f>
        <v>0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ht="20">
      <c r="A315" s="31">
        <v>314</v>
      </c>
      <c r="B315" s="18" t="s">
        <v>446</v>
      </c>
      <c r="C315" s="18" t="s">
        <v>71</v>
      </c>
      <c r="D315" s="18" t="s">
        <v>57</v>
      </c>
      <c r="E315" s="3" t="b">
        <f>ISTEXT(VLOOKUP(B315,Draft!$D$3:$D$400,1,FALSE))</f>
        <v>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ht="20">
      <c r="A316" s="31">
        <v>315</v>
      </c>
      <c r="B316" s="18" t="s">
        <v>447</v>
      </c>
      <c r="C316" s="18" t="s">
        <v>71</v>
      </c>
      <c r="D316" s="18" t="s">
        <v>10</v>
      </c>
      <c r="E316" s="3" t="b">
        <f>ISTEXT(VLOOKUP(B316,Draft!$D$3:$D$400,1,FALSE))</f>
        <v>0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ht="20">
      <c r="A317" s="31">
        <v>316</v>
      </c>
      <c r="B317" s="18" t="s">
        <v>448</v>
      </c>
      <c r="C317" s="18" t="s">
        <v>71</v>
      </c>
      <c r="D317" s="18" t="s">
        <v>17</v>
      </c>
      <c r="E317" s="3" t="b">
        <f>ISTEXT(VLOOKUP(B317,Draft!$D$3:$D$400,1,FALSE))</f>
        <v>0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ht="20">
      <c r="A318" s="31">
        <v>317</v>
      </c>
      <c r="B318" s="18" t="s">
        <v>449</v>
      </c>
      <c r="C318" s="18" t="s">
        <v>71</v>
      </c>
      <c r="D318" s="18" t="s">
        <v>49</v>
      </c>
      <c r="E318" s="3" t="b">
        <f>ISTEXT(VLOOKUP(B318,Draft!$D$3:$D$400,1,FALSE))</f>
        <v>0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ht="20">
      <c r="A319" s="31">
        <v>318</v>
      </c>
      <c r="B319" s="18" t="s">
        <v>450</v>
      </c>
      <c r="C319" s="18" t="s">
        <v>71</v>
      </c>
      <c r="D319" s="18" t="s">
        <v>54</v>
      </c>
      <c r="E319" s="3" t="b">
        <f>ISTEXT(VLOOKUP(B319,Draft!$D$3:$D$400,1,FALSE))</f>
        <v>0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ht="20">
      <c r="A320" s="31">
        <v>319</v>
      </c>
      <c r="B320" s="18" t="s">
        <v>451</v>
      </c>
      <c r="C320" s="18" t="s">
        <v>71</v>
      </c>
      <c r="D320" s="18" t="s">
        <v>58</v>
      </c>
      <c r="E320" s="3" t="b">
        <f>ISTEXT(VLOOKUP(B320,Draft!$D$3:$D$400,1,FALSE))</f>
        <v>0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ht="20">
      <c r="A321" s="31">
        <v>320</v>
      </c>
      <c r="B321" s="18" t="s">
        <v>452</v>
      </c>
      <c r="C321" s="18" t="s">
        <v>71</v>
      </c>
      <c r="D321" s="18" t="s">
        <v>54</v>
      </c>
      <c r="E321" s="3" t="b">
        <f>ISTEXT(VLOOKUP(B321,Draft!$D$3:$D$400,1,FALSE))</f>
        <v>0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ht="20">
      <c r="A322" s="31">
        <v>321</v>
      </c>
      <c r="B322" s="18" t="s">
        <v>453</v>
      </c>
      <c r="C322" s="18" t="s">
        <v>71</v>
      </c>
      <c r="D322" s="18" t="s">
        <v>48</v>
      </c>
      <c r="E322" s="3" t="b">
        <f>ISTEXT(VLOOKUP(B322,Draft!$D$3:$D$400,1,FALSE))</f>
        <v>0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ht="20">
      <c r="A323" s="31">
        <v>322</v>
      </c>
      <c r="B323" s="18" t="s">
        <v>454</v>
      </c>
      <c r="C323" s="18" t="s">
        <v>71</v>
      </c>
      <c r="D323" s="18" t="s">
        <v>45</v>
      </c>
      <c r="E323" s="3" t="b">
        <f>ISTEXT(VLOOKUP(B323,Draft!$D$3:$D$400,1,FALSE))</f>
        <v>0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ht="20">
      <c r="A324" s="31">
        <v>323</v>
      </c>
      <c r="B324" s="18" t="s">
        <v>455</v>
      </c>
      <c r="C324" s="18" t="s">
        <v>71</v>
      </c>
      <c r="D324" s="18" t="s">
        <v>62</v>
      </c>
      <c r="E324" s="3" t="b">
        <f>ISTEXT(VLOOKUP(B324,Draft!$D$3:$D$400,1,FALSE))</f>
        <v>0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ht="20">
      <c r="A325" s="31">
        <v>324</v>
      </c>
      <c r="B325" s="18" t="s">
        <v>456</v>
      </c>
      <c r="C325" s="18" t="s">
        <v>71</v>
      </c>
      <c r="D325" s="18" t="s">
        <v>165</v>
      </c>
      <c r="E325" s="3" t="b">
        <f>ISTEXT(VLOOKUP(B325,Draft!$D$3:$D$400,1,FALSE))</f>
        <v>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ht="20">
      <c r="A326" s="31">
        <v>325</v>
      </c>
      <c r="B326" s="18" t="s">
        <v>457</v>
      </c>
      <c r="C326" s="18" t="s">
        <v>71</v>
      </c>
      <c r="D326" s="18" t="s">
        <v>10</v>
      </c>
      <c r="E326" s="3" t="b">
        <f>ISTEXT(VLOOKUP(B326,Draft!$D$3:$D$400,1,FALSE))</f>
        <v>0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ht="20">
      <c r="A327" s="31">
        <v>326</v>
      </c>
      <c r="B327" s="18" t="s">
        <v>458</v>
      </c>
      <c r="C327" s="18" t="s">
        <v>71</v>
      </c>
      <c r="D327" s="18" t="s">
        <v>52</v>
      </c>
      <c r="E327" s="3" t="b">
        <f>ISTEXT(VLOOKUP(B327,Draft!$D$3:$D$400,1,FALSE))</f>
        <v>0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ht="20">
      <c r="A328" s="31">
        <v>327</v>
      </c>
      <c r="B328" s="18" t="s">
        <v>459</v>
      </c>
      <c r="C328" s="18" t="s">
        <v>71</v>
      </c>
      <c r="D328" s="18" t="s">
        <v>50</v>
      </c>
      <c r="E328" s="3" t="b">
        <f>ISTEXT(VLOOKUP(B328,Draft!$D$3:$D$400,1,FALSE))</f>
        <v>0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ht="20">
      <c r="A329" s="31">
        <v>328</v>
      </c>
      <c r="B329" s="18" t="s">
        <v>460</v>
      </c>
      <c r="C329" s="18" t="s">
        <v>71</v>
      </c>
      <c r="D329" s="18" t="s">
        <v>57</v>
      </c>
      <c r="E329" s="3" t="b">
        <f>ISTEXT(VLOOKUP(B329,Draft!$D$3:$D$400,1,FALSE))</f>
        <v>0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ht="20">
      <c r="A330" s="31">
        <v>329</v>
      </c>
      <c r="B330" s="18" t="s">
        <v>461</v>
      </c>
      <c r="C330" s="18" t="s">
        <v>71</v>
      </c>
      <c r="D330" s="18" t="s">
        <v>46</v>
      </c>
      <c r="E330" s="3" t="b">
        <f>ISTEXT(VLOOKUP(B330,Draft!$D$3:$D$400,1,FALSE))</f>
        <v>0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ht="20">
      <c r="A331" s="31">
        <v>330</v>
      </c>
      <c r="B331" s="18" t="s">
        <v>462</v>
      </c>
      <c r="C331" s="18" t="s">
        <v>71</v>
      </c>
      <c r="D331" s="18" t="s">
        <v>51</v>
      </c>
      <c r="E331" s="3" t="b">
        <f>ISTEXT(VLOOKUP(B331,Draft!$D$3:$D$400,1,FALSE))</f>
        <v>0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ht="20">
      <c r="A332" s="31">
        <v>331</v>
      </c>
      <c r="B332" s="18" t="s">
        <v>463</v>
      </c>
      <c r="C332" s="18" t="s">
        <v>71</v>
      </c>
      <c r="D332" s="18" t="s">
        <v>62</v>
      </c>
      <c r="E332" s="3" t="b">
        <f>ISTEXT(VLOOKUP(B332,Draft!$D$3:$D$400,1,FALSE))</f>
        <v>0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 ht="20">
      <c r="A333" s="31">
        <v>332</v>
      </c>
      <c r="B333" s="18" t="s">
        <v>464</v>
      </c>
      <c r="C333" s="18" t="s">
        <v>71</v>
      </c>
      <c r="D333" s="18" t="s">
        <v>69</v>
      </c>
      <c r="E333" s="3" t="b">
        <f>ISTEXT(VLOOKUP(B333,Draft!$D$3:$D$400,1,FALSE))</f>
        <v>0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 ht="20">
      <c r="A334" s="31">
        <v>333</v>
      </c>
      <c r="B334" s="18" t="s">
        <v>465</v>
      </c>
      <c r="C334" s="18" t="s">
        <v>71</v>
      </c>
      <c r="D334" s="18" t="s">
        <v>62</v>
      </c>
      <c r="E334" s="3" t="b">
        <f>ISTEXT(VLOOKUP(B334,Draft!$D$3:$D$400,1,FALSE))</f>
        <v>0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 ht="20">
      <c r="A335" s="31">
        <v>334</v>
      </c>
      <c r="B335" s="18" t="s">
        <v>466</v>
      </c>
      <c r="C335" s="18" t="s">
        <v>71</v>
      </c>
      <c r="D335" s="18" t="s">
        <v>46</v>
      </c>
      <c r="E335" s="3" t="b">
        <f>ISTEXT(VLOOKUP(B335,Draft!$D$3:$D$400,1,FALSE))</f>
        <v>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 ht="20">
      <c r="A336" s="31">
        <v>335</v>
      </c>
      <c r="B336" s="18" t="s">
        <v>467</v>
      </c>
      <c r="C336" s="18" t="s">
        <v>71</v>
      </c>
      <c r="D336" s="18" t="s">
        <v>14</v>
      </c>
      <c r="E336" s="3" t="b">
        <f>ISTEXT(VLOOKUP(B336,Draft!$D$3:$D$400,1,FALSE))</f>
        <v>0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 ht="20">
      <c r="A337" s="31">
        <v>336</v>
      </c>
      <c r="B337" s="18" t="s">
        <v>468</v>
      </c>
      <c r="C337" s="18" t="s">
        <v>71</v>
      </c>
      <c r="D337" s="18" t="s">
        <v>69</v>
      </c>
      <c r="E337" s="3" t="b">
        <f>ISTEXT(VLOOKUP(B337,Draft!$D$3:$D$400,1,FALSE))</f>
        <v>0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 ht="20">
      <c r="A338" s="31">
        <v>337</v>
      </c>
      <c r="B338" s="18" t="s">
        <v>469</v>
      </c>
      <c r="C338" s="18" t="s">
        <v>71</v>
      </c>
      <c r="D338" s="18" t="s">
        <v>68</v>
      </c>
      <c r="E338" s="3" t="b">
        <f>ISTEXT(VLOOKUP(B338,Draft!$D$3:$D$400,1,FALSE))</f>
        <v>0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 ht="20">
      <c r="A339" s="31">
        <v>338</v>
      </c>
      <c r="B339" s="18" t="s">
        <v>470</v>
      </c>
      <c r="C339" s="18" t="s">
        <v>71</v>
      </c>
      <c r="D339" s="18" t="s">
        <v>55</v>
      </c>
      <c r="E339" s="3" t="b">
        <f>ISTEXT(VLOOKUP(B339,Draft!$D$3:$D$400,1,FALSE))</f>
        <v>0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 ht="20">
      <c r="A340" s="31">
        <v>339</v>
      </c>
      <c r="B340" s="18" t="s">
        <v>471</v>
      </c>
      <c r="C340" s="18" t="s">
        <v>71</v>
      </c>
      <c r="D340" s="18" t="s">
        <v>63</v>
      </c>
      <c r="E340" s="3" t="b">
        <f>ISTEXT(VLOOKUP(B340,Draft!$D$3:$D$400,1,FALSE))</f>
        <v>0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 ht="20">
      <c r="A341" s="31">
        <v>340</v>
      </c>
      <c r="B341" s="18" t="s">
        <v>472</v>
      </c>
      <c r="C341" s="18" t="s">
        <v>71</v>
      </c>
      <c r="D341" s="18" t="s">
        <v>57</v>
      </c>
      <c r="E341" s="3" t="b">
        <f>ISTEXT(VLOOKUP(B341,Draft!$D$3:$D$400,1,FALSE))</f>
        <v>0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 ht="20">
      <c r="A342" s="31">
        <v>341</v>
      </c>
      <c r="B342" s="18" t="s">
        <v>473</v>
      </c>
      <c r="C342" s="18" t="s">
        <v>71</v>
      </c>
      <c r="D342" s="18" t="s">
        <v>66</v>
      </c>
      <c r="E342" s="3" t="b">
        <f>ISTEXT(VLOOKUP(B342,Draft!$D$3:$D$400,1,FALSE))</f>
        <v>0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 ht="20">
      <c r="A343" s="31">
        <v>342</v>
      </c>
      <c r="B343" s="18" t="s">
        <v>474</v>
      </c>
      <c r="C343" s="18" t="s">
        <v>71</v>
      </c>
      <c r="D343" s="18" t="s">
        <v>165</v>
      </c>
      <c r="E343" s="3" t="b">
        <f>ISTEXT(VLOOKUP(B343,Draft!$D$3:$D$400,1,FALSE))</f>
        <v>0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 ht="20">
      <c r="A344" s="31">
        <v>343</v>
      </c>
      <c r="B344" s="18" t="s">
        <v>475</v>
      </c>
      <c r="C344" s="18" t="s">
        <v>71</v>
      </c>
      <c r="D344" s="18" t="s">
        <v>49</v>
      </c>
      <c r="E344" s="3" t="b">
        <f>ISTEXT(VLOOKUP(B344,Draft!$D$3:$D$400,1,FALSE))</f>
        <v>0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 ht="20">
      <c r="A345" s="31">
        <v>344</v>
      </c>
      <c r="B345" s="18" t="s">
        <v>476</v>
      </c>
      <c r="C345" s="18" t="s">
        <v>71</v>
      </c>
      <c r="D345" s="18" t="s">
        <v>61</v>
      </c>
      <c r="E345" s="3" t="b">
        <f>ISTEXT(VLOOKUP(B345,Draft!$D$3:$D$400,1,FALSE))</f>
        <v>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 ht="20">
      <c r="A346" s="31">
        <v>345</v>
      </c>
      <c r="B346" s="18" t="s">
        <v>477</v>
      </c>
      <c r="C346" s="18" t="s">
        <v>71</v>
      </c>
      <c r="D346" s="18" t="s">
        <v>60</v>
      </c>
      <c r="E346" s="3" t="b">
        <f>ISTEXT(VLOOKUP(B346,Draft!$D$3:$D$400,1,FALSE))</f>
        <v>0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 ht="20">
      <c r="A347" s="31">
        <v>346</v>
      </c>
      <c r="B347" s="18" t="s">
        <v>478</v>
      </c>
      <c r="C347" s="18" t="s">
        <v>71</v>
      </c>
      <c r="D347" s="18" t="s">
        <v>14</v>
      </c>
      <c r="E347" s="3" t="b">
        <f>ISTEXT(VLOOKUP(B347,Draft!$D$3:$D$400,1,FALSE))</f>
        <v>0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 ht="20">
      <c r="A348" s="31">
        <v>347</v>
      </c>
      <c r="B348" s="18" t="s">
        <v>479</v>
      </c>
      <c r="C348" s="18" t="s">
        <v>71</v>
      </c>
      <c r="D348" s="18" t="s">
        <v>48</v>
      </c>
      <c r="E348" s="3" t="b">
        <f>ISTEXT(VLOOKUP(B348,Draft!$D$3:$D$400,1,FALSE))</f>
        <v>0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 ht="20">
      <c r="A349" s="31">
        <v>348</v>
      </c>
      <c r="B349" s="18" t="s">
        <v>480</v>
      </c>
      <c r="C349" s="18" t="s">
        <v>71</v>
      </c>
      <c r="D349" s="18" t="s">
        <v>59</v>
      </c>
      <c r="E349" s="3" t="b">
        <f>ISTEXT(VLOOKUP(B349,Draft!$D$3:$D$400,1,FALSE))</f>
        <v>0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 ht="20">
      <c r="A350" s="31">
        <v>349</v>
      </c>
      <c r="B350" s="18" t="s">
        <v>481</v>
      </c>
      <c r="C350" s="18" t="s">
        <v>71</v>
      </c>
      <c r="D350" s="18" t="s">
        <v>58</v>
      </c>
      <c r="E350" s="3" t="b">
        <f>ISTEXT(VLOOKUP(B350,Draft!$D$3:$D$400,1,FALSE))</f>
        <v>0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 ht="20">
      <c r="A351" s="31">
        <v>350</v>
      </c>
      <c r="B351" s="18" t="s">
        <v>482</v>
      </c>
      <c r="C351" s="18" t="s">
        <v>71</v>
      </c>
      <c r="D351" s="18" t="s">
        <v>58</v>
      </c>
      <c r="E351" s="3" t="b">
        <f>ISTEXT(VLOOKUP(B351,Draft!$D$3:$D$400,1,FALSE))</f>
        <v>0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 ht="20">
      <c r="A352" s="31">
        <v>351</v>
      </c>
      <c r="B352" s="18" t="s">
        <v>483</v>
      </c>
      <c r="C352" s="18" t="s">
        <v>71</v>
      </c>
      <c r="D352" s="18" t="s">
        <v>46</v>
      </c>
      <c r="E352" s="3" t="b">
        <f>ISTEXT(VLOOKUP(B352,Draft!$D$3:$D$400,1,FALSE))</f>
        <v>0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 ht="20">
      <c r="A353" s="31">
        <v>352</v>
      </c>
      <c r="B353" s="18" t="s">
        <v>484</v>
      </c>
      <c r="C353" s="18" t="s">
        <v>71</v>
      </c>
      <c r="D353" s="18" t="s">
        <v>50</v>
      </c>
      <c r="E353" s="3" t="b">
        <f>ISTEXT(VLOOKUP(B353,Draft!$D$3:$D$400,1,FALSE))</f>
        <v>0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 ht="20">
      <c r="A354" s="31">
        <v>353</v>
      </c>
      <c r="B354" s="18" t="s">
        <v>485</v>
      </c>
      <c r="C354" s="18" t="s">
        <v>71</v>
      </c>
      <c r="D354" s="18" t="s">
        <v>7</v>
      </c>
      <c r="E354" s="3" t="b">
        <f>ISTEXT(VLOOKUP(B354,Draft!$D$3:$D$400,1,FALSE))</f>
        <v>0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 ht="20">
      <c r="A355" s="31">
        <v>354</v>
      </c>
      <c r="B355" s="18" t="s">
        <v>486</v>
      </c>
      <c r="C355" s="18" t="s">
        <v>71</v>
      </c>
      <c r="D355" s="18" t="s">
        <v>5</v>
      </c>
      <c r="E355" s="3" t="b">
        <f>ISTEXT(VLOOKUP(B355,Draft!$D$3:$D$400,1,FALSE))</f>
        <v>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 ht="20">
      <c r="A356" s="31">
        <v>355</v>
      </c>
      <c r="B356" s="18" t="s">
        <v>487</v>
      </c>
      <c r="C356" s="18" t="s">
        <v>71</v>
      </c>
      <c r="D356" s="18" t="s">
        <v>65</v>
      </c>
      <c r="E356" s="3" t="b">
        <f>ISTEXT(VLOOKUP(B356,Draft!$D$3:$D$400,1,FALSE))</f>
        <v>0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 ht="20">
      <c r="A357" s="31">
        <v>356</v>
      </c>
      <c r="B357" s="18" t="s">
        <v>488</v>
      </c>
      <c r="C357" s="18" t="s">
        <v>71</v>
      </c>
      <c r="D357" s="18" t="s">
        <v>10</v>
      </c>
      <c r="E357" s="3" t="b">
        <f>ISTEXT(VLOOKUP(B357,Draft!$D$3:$D$400,1,FALSE))</f>
        <v>0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 ht="20">
      <c r="A358" s="31">
        <v>357</v>
      </c>
      <c r="B358" s="18" t="s">
        <v>489</v>
      </c>
      <c r="C358" s="18" t="s">
        <v>71</v>
      </c>
      <c r="D358" s="18" t="s">
        <v>60</v>
      </c>
      <c r="E358" s="3" t="b">
        <f>ISTEXT(VLOOKUP(B358,Draft!$D$3:$D$400,1,FALSE))</f>
        <v>0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 ht="20">
      <c r="A359" s="31">
        <v>358</v>
      </c>
      <c r="B359" s="18" t="s">
        <v>490</v>
      </c>
      <c r="C359" s="18" t="s">
        <v>71</v>
      </c>
      <c r="D359" s="18" t="s">
        <v>15</v>
      </c>
      <c r="E359" s="3" t="b">
        <f>ISTEXT(VLOOKUP(B359,Draft!$D$3:$D$400,1,FALSE))</f>
        <v>0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 ht="20">
      <c r="A360" s="31">
        <v>359</v>
      </c>
      <c r="B360" s="18" t="s">
        <v>491</v>
      </c>
      <c r="C360" s="18" t="s">
        <v>71</v>
      </c>
      <c r="D360" s="18" t="s">
        <v>66</v>
      </c>
      <c r="E360" s="3" t="b">
        <f>ISTEXT(VLOOKUP(B360,Draft!$D$3:$D$400,1,FALSE))</f>
        <v>0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 ht="20">
      <c r="A361" s="31">
        <v>360</v>
      </c>
      <c r="B361" s="18" t="s">
        <v>492</v>
      </c>
      <c r="C361" s="18" t="s">
        <v>71</v>
      </c>
      <c r="D361" s="18" t="s">
        <v>5</v>
      </c>
      <c r="E361" s="3" t="b">
        <f>ISTEXT(VLOOKUP(B361,Draft!$D$3:$D$400,1,FALSE))</f>
        <v>0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 ht="20">
      <c r="A362" s="31">
        <v>361</v>
      </c>
      <c r="B362" s="18" t="s">
        <v>493</v>
      </c>
      <c r="C362" s="18" t="s">
        <v>71</v>
      </c>
      <c r="D362" s="18" t="s">
        <v>64</v>
      </c>
      <c r="E362" s="3" t="b">
        <f>ISTEXT(VLOOKUP(B362,Draft!$D$3:$D$400,1,FALSE))</f>
        <v>0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 ht="20">
      <c r="A363" s="31">
        <v>362</v>
      </c>
      <c r="B363" s="18" t="s">
        <v>494</v>
      </c>
      <c r="C363" s="18" t="s">
        <v>71</v>
      </c>
      <c r="D363" s="18" t="s">
        <v>65</v>
      </c>
      <c r="E363" s="3" t="b">
        <f>ISTEXT(VLOOKUP(B363,Draft!$D$3:$D$400,1,FALSE))</f>
        <v>0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 ht="20">
      <c r="A364" s="31">
        <v>363</v>
      </c>
      <c r="B364" s="18" t="s">
        <v>495</v>
      </c>
      <c r="C364" s="18" t="s">
        <v>71</v>
      </c>
      <c r="D364" s="18" t="s">
        <v>5</v>
      </c>
      <c r="E364" s="3" t="b">
        <f>ISTEXT(VLOOKUP(B364,Draft!$D$3:$D$400,1,FALSE))</f>
        <v>0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 ht="20">
      <c r="A365" s="31">
        <v>364</v>
      </c>
      <c r="B365" s="18" t="s">
        <v>496</v>
      </c>
      <c r="C365" s="18" t="s">
        <v>71</v>
      </c>
      <c r="D365" s="18" t="s">
        <v>63</v>
      </c>
      <c r="E365" s="3" t="b">
        <f>ISTEXT(VLOOKUP(B365,Draft!$D$3:$D$400,1,FALSE))</f>
        <v>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 ht="20">
      <c r="A366" s="31">
        <v>365</v>
      </c>
      <c r="B366" s="18" t="s">
        <v>497</v>
      </c>
      <c r="C366" s="18" t="s">
        <v>71</v>
      </c>
      <c r="D366" s="18" t="s">
        <v>14</v>
      </c>
      <c r="E366" s="3" t="b">
        <f>ISTEXT(VLOOKUP(B366,Draft!$D$3:$D$400,1,FALSE))</f>
        <v>0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 ht="20">
      <c r="A367" s="31">
        <v>366</v>
      </c>
      <c r="B367" s="18" t="s">
        <v>498</v>
      </c>
      <c r="C367" s="18" t="s">
        <v>71</v>
      </c>
      <c r="D367" s="18" t="s">
        <v>50</v>
      </c>
      <c r="E367" s="3" t="b">
        <f>ISTEXT(VLOOKUP(B367,Draft!$D$3:$D$400,1,FALSE))</f>
        <v>0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 ht="20">
      <c r="A368" s="31">
        <v>367</v>
      </c>
      <c r="B368" s="18" t="s">
        <v>499</v>
      </c>
      <c r="C368" s="18" t="s">
        <v>71</v>
      </c>
      <c r="D368" s="18" t="s">
        <v>7</v>
      </c>
      <c r="E368" s="3" t="b">
        <f>ISTEXT(VLOOKUP(B368,Draft!$D$3:$D$400,1,FALSE))</f>
        <v>0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 ht="20">
      <c r="A369" s="31">
        <v>368</v>
      </c>
      <c r="B369" s="18" t="s">
        <v>500</v>
      </c>
      <c r="C369" s="18" t="s">
        <v>71</v>
      </c>
      <c r="D369" s="18" t="s">
        <v>49</v>
      </c>
      <c r="E369" s="3" t="b">
        <f>ISTEXT(VLOOKUP(B369,Draft!$D$3:$D$400,1,FALSE))</f>
        <v>0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 ht="20">
      <c r="A370" s="31">
        <v>369</v>
      </c>
      <c r="B370" s="18" t="s">
        <v>501</v>
      </c>
      <c r="C370" s="18" t="s">
        <v>71</v>
      </c>
      <c r="D370" s="18" t="s">
        <v>12</v>
      </c>
      <c r="E370" s="3" t="b">
        <f>ISTEXT(VLOOKUP(B370,Draft!$D$3:$D$400,1,FALSE))</f>
        <v>0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 ht="20">
      <c r="A371" s="31">
        <v>370</v>
      </c>
      <c r="B371" s="18" t="s">
        <v>502</v>
      </c>
      <c r="C371" s="18" t="s">
        <v>71</v>
      </c>
      <c r="D371" s="18" t="s">
        <v>57</v>
      </c>
      <c r="E371" s="3" t="b">
        <f>ISTEXT(VLOOKUP(B371,Draft!$D$3:$D$400,1,FALSE))</f>
        <v>0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 ht="20">
      <c r="A372" s="31">
        <v>371</v>
      </c>
      <c r="B372" s="18" t="s">
        <v>503</v>
      </c>
      <c r="C372" s="18" t="s">
        <v>71</v>
      </c>
      <c r="D372" s="18" t="s">
        <v>60</v>
      </c>
      <c r="E372" s="3" t="b">
        <f>ISTEXT(VLOOKUP(B372,Draft!$D$3:$D$400,1,FALSE))</f>
        <v>0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 ht="20">
      <c r="A373" s="31">
        <v>372</v>
      </c>
      <c r="B373" s="18" t="s">
        <v>504</v>
      </c>
      <c r="C373" s="18" t="s">
        <v>71</v>
      </c>
      <c r="D373" s="18" t="s">
        <v>59</v>
      </c>
      <c r="E373" s="3" t="b">
        <f>ISTEXT(VLOOKUP(B373,Draft!$D$3:$D$400,1,FALSE))</f>
        <v>0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 ht="20">
      <c r="A374" s="31">
        <v>373</v>
      </c>
      <c r="B374" s="18" t="s">
        <v>505</v>
      </c>
      <c r="C374" s="18" t="s">
        <v>71</v>
      </c>
      <c r="D374" s="18" t="s">
        <v>17</v>
      </c>
      <c r="E374" s="3" t="b">
        <f>ISTEXT(VLOOKUP(B374,Draft!$D$3:$D$400,1,FALSE))</f>
        <v>0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 ht="20">
      <c r="A375" s="31">
        <v>374</v>
      </c>
      <c r="B375" s="18" t="s">
        <v>506</v>
      </c>
      <c r="C375" s="18" t="s">
        <v>71</v>
      </c>
      <c r="D375" s="18" t="s">
        <v>53</v>
      </c>
      <c r="E375" s="3" t="b">
        <f>ISTEXT(VLOOKUP(B375,Draft!$D$3:$D$400,1,FALSE))</f>
        <v>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 ht="20">
      <c r="A376" s="31">
        <v>375</v>
      </c>
      <c r="B376" s="18" t="s">
        <v>507</v>
      </c>
      <c r="C376" s="18" t="s">
        <v>71</v>
      </c>
      <c r="D376" s="18" t="s">
        <v>52</v>
      </c>
      <c r="E376" s="3" t="b">
        <f>ISTEXT(VLOOKUP(B376,Draft!$D$3:$D$400,1,FALSE))</f>
        <v>0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 ht="20">
      <c r="A377" s="31">
        <v>376</v>
      </c>
      <c r="B377" s="18" t="s">
        <v>508</v>
      </c>
      <c r="C377" s="18" t="s">
        <v>71</v>
      </c>
      <c r="D377" s="18" t="s">
        <v>51</v>
      </c>
      <c r="E377" s="3" t="b">
        <f>ISTEXT(VLOOKUP(B377,Draft!$D$3:$D$400,1,FALSE))</f>
        <v>0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 ht="20">
      <c r="A378" s="31">
        <v>377</v>
      </c>
      <c r="B378" s="18" t="s">
        <v>509</v>
      </c>
      <c r="C378" s="18" t="s">
        <v>71</v>
      </c>
      <c r="D378" s="18" t="s">
        <v>165</v>
      </c>
      <c r="E378" s="3" t="b">
        <f>ISTEXT(VLOOKUP(B378,Draft!$D$3:$D$400,1,FALSE))</f>
        <v>0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 ht="20">
      <c r="A379" s="31">
        <v>378</v>
      </c>
      <c r="B379" s="18" t="s">
        <v>510</v>
      </c>
      <c r="C379" s="18" t="s">
        <v>71</v>
      </c>
      <c r="D379" s="18" t="s">
        <v>66</v>
      </c>
      <c r="E379" s="3" t="b">
        <f>ISTEXT(VLOOKUP(B379,Draft!$D$3:$D$400,1,FALSE))</f>
        <v>0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 ht="20">
      <c r="A380" s="31">
        <v>379</v>
      </c>
      <c r="B380" s="18" t="s">
        <v>511</v>
      </c>
      <c r="C380" s="18" t="s">
        <v>71</v>
      </c>
      <c r="D380" s="18" t="s">
        <v>48</v>
      </c>
      <c r="E380" s="3" t="b">
        <f>ISTEXT(VLOOKUP(B380,Draft!$D$3:$D$400,1,FALSE))</f>
        <v>0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 ht="20">
      <c r="A381" s="31">
        <v>380</v>
      </c>
      <c r="B381" s="18" t="s">
        <v>512</v>
      </c>
      <c r="C381" s="18" t="s">
        <v>71</v>
      </c>
      <c r="D381" s="18" t="s">
        <v>61</v>
      </c>
      <c r="E381" s="3" t="b">
        <f>ISTEXT(VLOOKUP(B381,Draft!$D$3:$D$400,1,FALSE))</f>
        <v>0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 ht="20">
      <c r="A382" s="31">
        <v>381</v>
      </c>
      <c r="B382" s="18" t="s">
        <v>513</v>
      </c>
      <c r="C382" s="18" t="s">
        <v>71</v>
      </c>
      <c r="D382" s="18" t="s">
        <v>66</v>
      </c>
      <c r="E382" s="3" t="b">
        <f>ISTEXT(VLOOKUP(B382,Draft!$D$3:$D$400,1,FALSE))</f>
        <v>0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 ht="20">
      <c r="A383" s="31">
        <v>382</v>
      </c>
      <c r="B383" s="18" t="s">
        <v>514</v>
      </c>
      <c r="C383" s="18" t="s">
        <v>71</v>
      </c>
      <c r="D383" s="18" t="s">
        <v>15</v>
      </c>
      <c r="E383" s="3" t="b">
        <f>ISTEXT(VLOOKUP(B383,Draft!$D$3:$D$400,1,FALSE))</f>
        <v>0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 ht="20">
      <c r="A384" s="31">
        <v>383</v>
      </c>
      <c r="B384" s="18" t="s">
        <v>515</v>
      </c>
      <c r="C384" s="18" t="s">
        <v>71</v>
      </c>
      <c r="D384" s="18" t="s">
        <v>50</v>
      </c>
      <c r="E384" s="3" t="b">
        <f>ISTEXT(VLOOKUP(B384,Draft!$D$3:$D$400,1,FALSE))</f>
        <v>0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 ht="20">
      <c r="A385" s="31">
        <v>384</v>
      </c>
      <c r="B385" s="18" t="s">
        <v>516</v>
      </c>
      <c r="C385" s="18" t="s">
        <v>71</v>
      </c>
      <c r="D385" s="18" t="s">
        <v>55</v>
      </c>
      <c r="E385" s="3" t="b">
        <f>ISTEXT(VLOOKUP(B385,Draft!$D$3:$D$400,1,FALSE))</f>
        <v>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 ht="20">
      <c r="A386" s="31">
        <v>385</v>
      </c>
      <c r="B386" s="18" t="s">
        <v>517</v>
      </c>
      <c r="C386" s="18" t="s">
        <v>71</v>
      </c>
      <c r="D386" s="18" t="s">
        <v>65</v>
      </c>
      <c r="E386" s="3" t="b">
        <f>ISTEXT(VLOOKUP(B386,Draft!$D$3:$D$400,1,FALSE))</f>
        <v>0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 ht="20">
      <c r="A387" s="31">
        <v>386</v>
      </c>
      <c r="B387" s="18" t="s">
        <v>518</v>
      </c>
      <c r="C387" s="18" t="s">
        <v>71</v>
      </c>
      <c r="D387" s="18" t="s">
        <v>53</v>
      </c>
      <c r="E387" s="3" t="b">
        <f>ISTEXT(VLOOKUP(B387,Draft!$D$3:$D$400,1,FALSE))</f>
        <v>0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 ht="20">
      <c r="A388" s="31">
        <v>387</v>
      </c>
      <c r="B388" s="18" t="s">
        <v>519</v>
      </c>
      <c r="C388" s="18" t="s">
        <v>71</v>
      </c>
      <c r="D388" s="18" t="s">
        <v>17</v>
      </c>
      <c r="E388" s="3" t="b">
        <f>ISTEXT(VLOOKUP(B388,Draft!$D$3:$D$400,1,FALSE))</f>
        <v>0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 ht="20">
      <c r="A389" s="31">
        <v>388</v>
      </c>
      <c r="B389" s="18" t="s">
        <v>520</v>
      </c>
      <c r="C389" s="18" t="s">
        <v>71</v>
      </c>
      <c r="D389" s="18" t="s">
        <v>60</v>
      </c>
      <c r="E389" s="3" t="b">
        <f>ISTEXT(VLOOKUP(B389,Draft!$D$3:$D$400,1,FALSE))</f>
        <v>0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 ht="20">
      <c r="A390" s="31">
        <v>389</v>
      </c>
      <c r="B390" s="18" t="s">
        <v>521</v>
      </c>
      <c r="C390" s="18" t="s">
        <v>71</v>
      </c>
      <c r="D390" s="18" t="s">
        <v>68</v>
      </c>
      <c r="E390" s="3" t="b">
        <f>ISTEXT(VLOOKUP(B390,Draft!$D$3:$D$400,1,FALSE))</f>
        <v>0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 ht="20">
      <c r="A391" s="31">
        <v>390</v>
      </c>
      <c r="B391" s="18" t="s">
        <v>522</v>
      </c>
      <c r="C391" s="18" t="s">
        <v>71</v>
      </c>
      <c r="D391" s="18" t="s">
        <v>47</v>
      </c>
      <c r="E391" s="3" t="b">
        <f>ISTEXT(VLOOKUP(B391,Draft!$D$3:$D$400,1,FALSE))</f>
        <v>0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 ht="20">
      <c r="A392" s="31">
        <v>391</v>
      </c>
      <c r="B392" s="18" t="s">
        <v>523</v>
      </c>
      <c r="C392" s="18" t="s">
        <v>71</v>
      </c>
      <c r="D392" s="18" t="s">
        <v>55</v>
      </c>
      <c r="E392" s="3" t="b">
        <f>ISTEXT(VLOOKUP(B392,Draft!$D$3:$D$400,1,FALSE))</f>
        <v>0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 ht="20">
      <c r="A393" s="31">
        <v>392</v>
      </c>
      <c r="B393" s="18" t="s">
        <v>524</v>
      </c>
      <c r="C393" s="18" t="s">
        <v>71</v>
      </c>
      <c r="D393" s="18" t="s">
        <v>48</v>
      </c>
      <c r="E393" s="3" t="b">
        <f>ISTEXT(VLOOKUP(B393,Draft!$D$3:$D$400,1,FALSE))</f>
        <v>0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 ht="20">
      <c r="A394" s="31">
        <v>393</v>
      </c>
      <c r="B394" s="18" t="s">
        <v>525</v>
      </c>
      <c r="C394" s="18" t="s">
        <v>71</v>
      </c>
      <c r="D394" s="18" t="s">
        <v>15</v>
      </c>
      <c r="E394" s="3" t="b">
        <f>ISTEXT(VLOOKUP(B394,Draft!$D$3:$D$400,1,FALSE))</f>
        <v>0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 ht="20">
      <c r="A395" s="31">
        <v>394</v>
      </c>
      <c r="B395" s="18" t="s">
        <v>526</v>
      </c>
      <c r="C395" s="18" t="s">
        <v>71</v>
      </c>
      <c r="D395" s="18" t="s">
        <v>7</v>
      </c>
      <c r="E395" s="3" t="b">
        <f>ISTEXT(VLOOKUP(B395,Draft!$D$3:$D$400,1,FALSE))</f>
        <v>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 ht="20">
      <c r="A396" s="31">
        <v>395</v>
      </c>
      <c r="B396" s="18" t="s">
        <v>527</v>
      </c>
      <c r="C396" s="18" t="s">
        <v>71</v>
      </c>
      <c r="D396" s="18" t="s">
        <v>59</v>
      </c>
      <c r="E396" s="3" t="b">
        <f>ISTEXT(VLOOKUP(B396,Draft!$D$3:$D$400,1,FALSE))</f>
        <v>0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 ht="20">
      <c r="A397" s="31">
        <v>396</v>
      </c>
      <c r="B397" s="18" t="s">
        <v>528</v>
      </c>
      <c r="C397" s="18" t="s">
        <v>71</v>
      </c>
      <c r="D397" s="18" t="s">
        <v>55</v>
      </c>
      <c r="E397" s="3" t="b">
        <f>ISTEXT(VLOOKUP(B397,Draft!$D$3:$D$400,1,FALSE))</f>
        <v>0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 ht="20">
      <c r="A398" s="31">
        <v>397</v>
      </c>
      <c r="B398" s="18" t="s">
        <v>529</v>
      </c>
      <c r="C398" s="18" t="s">
        <v>71</v>
      </c>
      <c r="D398" s="18" t="s">
        <v>69</v>
      </c>
      <c r="E398" s="3" t="b">
        <f>ISTEXT(VLOOKUP(B398,Draft!$D$3:$D$400,1,FALSE))</f>
        <v>0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 ht="20">
      <c r="A399" s="31">
        <v>398</v>
      </c>
      <c r="B399" s="18" t="s">
        <v>530</v>
      </c>
      <c r="C399" s="18" t="s">
        <v>71</v>
      </c>
      <c r="D399" s="18" t="s">
        <v>46</v>
      </c>
      <c r="E399" s="3" t="b">
        <f>ISTEXT(VLOOKUP(B399,Draft!$D$3:$D$400,1,FALSE))</f>
        <v>0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 ht="20">
      <c r="A400" s="31">
        <v>399</v>
      </c>
      <c r="B400" s="18" t="s">
        <v>531</v>
      </c>
      <c r="C400" s="18" t="s">
        <v>71</v>
      </c>
      <c r="D400" s="18" t="s">
        <v>56</v>
      </c>
      <c r="E400" s="3" t="b">
        <f>ISTEXT(VLOOKUP(B400,Draft!$D$3:$D$400,1,FALSE))</f>
        <v>0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 ht="20">
      <c r="A401" s="31">
        <v>400</v>
      </c>
      <c r="B401" s="18" t="s">
        <v>532</v>
      </c>
      <c r="C401" s="18" t="s">
        <v>71</v>
      </c>
      <c r="D401" s="18" t="s">
        <v>61</v>
      </c>
      <c r="E401" s="3" t="b">
        <f>ISTEXT(VLOOKUP(B401,Draft!$D$3:$D$400,1,FALSE))</f>
        <v>0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 ht="20">
      <c r="A402" s="31">
        <v>401</v>
      </c>
      <c r="B402" s="18" t="s">
        <v>533</v>
      </c>
      <c r="C402" s="18" t="s">
        <v>71</v>
      </c>
      <c r="D402" s="18" t="s">
        <v>46</v>
      </c>
      <c r="E402" s="3" t="b">
        <f>ISTEXT(VLOOKUP(B402,Draft!$D$3:$D$400,1,FALSE))</f>
        <v>0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 ht="20">
      <c r="A403" s="31">
        <v>402</v>
      </c>
      <c r="B403" s="18" t="s">
        <v>534</v>
      </c>
      <c r="C403" s="18" t="s">
        <v>71</v>
      </c>
      <c r="D403" s="18" t="s">
        <v>47</v>
      </c>
      <c r="E403" s="3" t="b">
        <f>ISTEXT(VLOOKUP(B403,Draft!$D$3:$D$400,1,FALSE))</f>
        <v>0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 ht="20">
      <c r="A404" s="31">
        <v>403</v>
      </c>
      <c r="B404" s="18" t="s">
        <v>535</v>
      </c>
      <c r="C404" s="18" t="s">
        <v>71</v>
      </c>
      <c r="D404" s="18" t="s">
        <v>64</v>
      </c>
      <c r="E404" s="3" t="b">
        <f>ISTEXT(VLOOKUP(B404,Draft!$D$3:$D$400,1,FALSE))</f>
        <v>0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 ht="20">
      <c r="A405" s="31">
        <v>404</v>
      </c>
      <c r="B405" s="18" t="s">
        <v>536</v>
      </c>
      <c r="C405" s="18" t="s">
        <v>71</v>
      </c>
      <c r="D405" s="18" t="s">
        <v>61</v>
      </c>
      <c r="E405" s="3" t="b">
        <f>ISTEXT(VLOOKUP(B405,Draft!$D$3:$D$400,1,FALSE))</f>
        <v>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 ht="20">
      <c r="A406" s="31">
        <v>405</v>
      </c>
      <c r="B406" s="18" t="s">
        <v>537</v>
      </c>
      <c r="C406" s="18" t="s">
        <v>71</v>
      </c>
      <c r="D406" s="18" t="s">
        <v>69</v>
      </c>
      <c r="E406" s="3" t="b">
        <f>ISTEXT(VLOOKUP(B406,Draft!$D$3:$D$400,1,FALSE))</f>
        <v>0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 ht="20">
      <c r="A407" s="31">
        <v>406</v>
      </c>
      <c r="B407" s="18" t="s">
        <v>538</v>
      </c>
      <c r="C407" s="18" t="s">
        <v>71</v>
      </c>
      <c r="D407" s="18" t="s">
        <v>59</v>
      </c>
      <c r="E407" s="3" t="b">
        <f>ISTEXT(VLOOKUP(B407,Draft!$D$3:$D$400,1,FALSE))</f>
        <v>0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 ht="20">
      <c r="A408" s="31">
        <v>407</v>
      </c>
      <c r="B408" s="18" t="s">
        <v>539</v>
      </c>
      <c r="C408" s="18" t="s">
        <v>71</v>
      </c>
      <c r="D408" s="18" t="s">
        <v>57</v>
      </c>
      <c r="E408" s="3" t="b">
        <f>ISTEXT(VLOOKUP(B408,Draft!$D$3:$D$400,1,FALSE))</f>
        <v>0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 ht="20">
      <c r="A409" s="31">
        <v>408</v>
      </c>
      <c r="B409" s="18" t="s">
        <v>540</v>
      </c>
      <c r="C409" s="18" t="s">
        <v>71</v>
      </c>
      <c r="D409" s="18" t="s">
        <v>12</v>
      </c>
      <c r="E409" s="3" t="b">
        <f>ISTEXT(VLOOKUP(B409,Draft!$D$3:$D$400,1,FALSE))</f>
        <v>0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 ht="20">
      <c r="A410" s="31">
        <v>409</v>
      </c>
      <c r="B410" s="18" t="s">
        <v>541</v>
      </c>
      <c r="C410" s="18" t="s">
        <v>71</v>
      </c>
      <c r="D410" s="18" t="s">
        <v>64</v>
      </c>
      <c r="E410" s="3" t="b">
        <f>ISTEXT(VLOOKUP(B410,Draft!$D$3:$D$400,1,FALSE))</f>
        <v>0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 ht="20">
      <c r="A411" s="31">
        <v>410</v>
      </c>
      <c r="B411" s="18" t="s">
        <v>542</v>
      </c>
      <c r="C411" s="18" t="s">
        <v>71</v>
      </c>
      <c r="D411" s="18" t="s">
        <v>45</v>
      </c>
      <c r="E411" s="3" t="b">
        <f>ISTEXT(VLOOKUP(B411,Draft!$D$3:$D$400,1,FALSE))</f>
        <v>0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 ht="20">
      <c r="A412" s="31">
        <v>411</v>
      </c>
      <c r="B412" s="18" t="s">
        <v>543</v>
      </c>
      <c r="C412" s="18" t="s">
        <v>71</v>
      </c>
      <c r="D412" s="18" t="s">
        <v>48</v>
      </c>
      <c r="E412" s="3" t="b">
        <f>ISTEXT(VLOOKUP(B412,Draft!$D$3:$D$400,1,FALSE))</f>
        <v>0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 ht="20">
      <c r="A413" s="31">
        <v>412</v>
      </c>
      <c r="B413" s="18" t="s">
        <v>544</v>
      </c>
      <c r="C413" s="18" t="s">
        <v>71</v>
      </c>
      <c r="D413" s="18" t="s">
        <v>45</v>
      </c>
      <c r="E413" s="3" t="b">
        <f>ISTEXT(VLOOKUP(B413,Draft!$D$3:$D$400,1,FALSE))</f>
        <v>0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 ht="20">
      <c r="A414" s="31">
        <v>413</v>
      </c>
      <c r="B414" s="18" t="s">
        <v>545</v>
      </c>
      <c r="C414" s="18" t="s">
        <v>71</v>
      </c>
      <c r="D414" s="18" t="s">
        <v>69</v>
      </c>
      <c r="E414" s="3" t="b">
        <f>ISTEXT(VLOOKUP(B414,Draft!$D$3:$D$400,1,FALSE))</f>
        <v>0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 ht="20">
      <c r="A415" s="31">
        <v>414</v>
      </c>
      <c r="B415" s="18" t="s">
        <v>546</v>
      </c>
      <c r="C415" s="18" t="s">
        <v>71</v>
      </c>
      <c r="D415" s="18" t="s">
        <v>165</v>
      </c>
      <c r="E415" s="3" t="b">
        <f>ISTEXT(VLOOKUP(B415,Draft!$D$3:$D$400,1,FALSE))</f>
        <v>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 ht="20">
      <c r="A416" s="31">
        <v>415</v>
      </c>
      <c r="B416" s="18" t="s">
        <v>547</v>
      </c>
      <c r="C416" s="18" t="s">
        <v>71</v>
      </c>
      <c r="D416" s="18" t="s">
        <v>64</v>
      </c>
      <c r="E416" s="3" t="b">
        <f>ISTEXT(VLOOKUP(B416,Draft!$D$3:$D$400,1,FALSE))</f>
        <v>0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 ht="20">
      <c r="A417" s="31">
        <v>416</v>
      </c>
      <c r="B417" s="18" t="s">
        <v>548</v>
      </c>
      <c r="C417" s="18" t="s">
        <v>71</v>
      </c>
      <c r="D417" s="18" t="s">
        <v>49</v>
      </c>
      <c r="E417" s="3" t="b">
        <f>ISTEXT(VLOOKUP(B417,Draft!$D$3:$D$400,1,FALSE))</f>
        <v>0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 ht="20">
      <c r="A418" s="31">
        <v>417</v>
      </c>
      <c r="B418" s="18" t="s">
        <v>549</v>
      </c>
      <c r="C418" s="18" t="s">
        <v>71</v>
      </c>
      <c r="D418" s="18" t="s">
        <v>56</v>
      </c>
      <c r="E418" s="3" t="b">
        <f>ISTEXT(VLOOKUP(B418,Draft!$D$3:$D$400,1,FALSE))</f>
        <v>0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 ht="20">
      <c r="A419" s="31">
        <v>418</v>
      </c>
      <c r="B419" s="18" t="s">
        <v>550</v>
      </c>
      <c r="C419" s="18" t="s">
        <v>71</v>
      </c>
      <c r="D419" s="18" t="s">
        <v>12</v>
      </c>
      <c r="E419" s="3" t="b">
        <f>ISTEXT(VLOOKUP(B419,Draft!$D$3:$D$400,1,FALSE))</f>
        <v>0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 ht="20">
      <c r="A420" s="31">
        <v>419</v>
      </c>
      <c r="B420" s="18" t="s">
        <v>551</v>
      </c>
      <c r="C420" s="18" t="s">
        <v>71</v>
      </c>
      <c r="D420" s="18" t="s">
        <v>5</v>
      </c>
      <c r="E420" s="3" t="b">
        <f>ISTEXT(VLOOKUP(B420,Draft!$D$3:$D$400,1,FALSE))</f>
        <v>0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 ht="20">
      <c r="A421" s="31">
        <v>420</v>
      </c>
      <c r="B421" s="18" t="s">
        <v>552</v>
      </c>
      <c r="C421" s="18" t="s">
        <v>71</v>
      </c>
      <c r="D421" s="18" t="s">
        <v>60</v>
      </c>
      <c r="E421" s="3" t="b">
        <f>ISTEXT(VLOOKUP(B421,Draft!$D$3:$D$400,1,FALSE))</f>
        <v>0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 ht="20">
      <c r="A422" s="31">
        <v>421</v>
      </c>
      <c r="B422" s="18" t="s">
        <v>553</v>
      </c>
      <c r="C422" s="18" t="s">
        <v>71</v>
      </c>
      <c r="D422" s="18" t="s">
        <v>12</v>
      </c>
      <c r="E422" s="3" t="b">
        <f>ISTEXT(VLOOKUP(B422,Draft!$D$3:$D$400,1,FALSE))</f>
        <v>0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 ht="20">
      <c r="A423" s="31">
        <v>422</v>
      </c>
      <c r="B423" s="18" t="s">
        <v>554</v>
      </c>
      <c r="C423" s="18" t="s">
        <v>71</v>
      </c>
      <c r="D423" s="18" t="s">
        <v>54</v>
      </c>
      <c r="E423" s="3" t="b">
        <f>ISTEXT(VLOOKUP(B423,Draft!$D$3:$D$400,1,FALSE))</f>
        <v>0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 ht="20">
      <c r="A424" s="31">
        <v>423</v>
      </c>
      <c r="B424" s="18" t="s">
        <v>555</v>
      </c>
      <c r="C424" s="18" t="s">
        <v>71</v>
      </c>
      <c r="D424" s="18" t="s">
        <v>15</v>
      </c>
      <c r="E424" s="3" t="b">
        <f>ISTEXT(VLOOKUP(B424,Draft!$D$3:$D$400,1,FALSE))</f>
        <v>0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 ht="20">
      <c r="A425" s="31">
        <v>424</v>
      </c>
      <c r="B425" s="18" t="s">
        <v>556</v>
      </c>
      <c r="C425" s="18" t="s">
        <v>71</v>
      </c>
      <c r="D425" s="18" t="s">
        <v>7</v>
      </c>
      <c r="E425" s="3" t="b">
        <f>ISTEXT(VLOOKUP(B425,Draft!$D$3:$D$400,1,FALSE))</f>
        <v>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 ht="20">
      <c r="A426" s="31">
        <v>425</v>
      </c>
      <c r="B426" s="18" t="s">
        <v>557</v>
      </c>
      <c r="C426" s="18" t="s">
        <v>71</v>
      </c>
      <c r="D426" s="18" t="s">
        <v>17</v>
      </c>
      <c r="E426" s="3" t="b">
        <f>ISTEXT(VLOOKUP(B426,Draft!$D$3:$D$400,1,FALSE))</f>
        <v>0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 ht="20">
      <c r="A427" s="31">
        <v>426</v>
      </c>
      <c r="B427" s="18" t="s">
        <v>558</v>
      </c>
      <c r="C427" s="18" t="s">
        <v>71</v>
      </c>
      <c r="D427" s="18" t="s">
        <v>50</v>
      </c>
      <c r="E427" s="3" t="b">
        <f>ISTEXT(VLOOKUP(B427,Draft!$D$3:$D$400,1,FALSE))</f>
        <v>0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 ht="20">
      <c r="A428" s="31">
        <v>427</v>
      </c>
      <c r="B428" s="18" t="s">
        <v>86</v>
      </c>
      <c r="C428" s="18" t="s">
        <v>73</v>
      </c>
      <c r="D428" s="18" t="s">
        <v>47</v>
      </c>
      <c r="E428" s="3" t="b">
        <f>ISTEXT(VLOOKUP(B428,Draft!$D$3:$D$400,1,FALSE))</f>
        <v>0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 ht="20">
      <c r="A429" s="31">
        <v>428</v>
      </c>
      <c r="B429" s="18" t="s">
        <v>96</v>
      </c>
      <c r="C429" s="18" t="s">
        <v>73</v>
      </c>
      <c r="D429" s="18" t="s">
        <v>15</v>
      </c>
      <c r="E429" s="3" t="b">
        <f>ISTEXT(VLOOKUP(B429,Draft!$D$3:$D$400,1,FALSE))</f>
        <v>0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 ht="20">
      <c r="A430" s="31">
        <v>429</v>
      </c>
      <c r="B430" s="18" t="s">
        <v>76</v>
      </c>
      <c r="C430" s="18" t="s">
        <v>73</v>
      </c>
      <c r="D430" s="18" t="s">
        <v>51</v>
      </c>
      <c r="E430" s="3" t="b">
        <f>ISTEXT(VLOOKUP(B430,Draft!$D$3:$D$400,1,FALSE))</f>
        <v>0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 ht="20">
      <c r="A431" s="31">
        <v>430</v>
      </c>
      <c r="B431" s="18" t="s">
        <v>82</v>
      </c>
      <c r="C431" s="18" t="s">
        <v>73</v>
      </c>
      <c r="D431" s="18" t="s">
        <v>46</v>
      </c>
      <c r="E431" s="3" t="b">
        <f>ISTEXT(VLOOKUP(B431,Draft!$D$3:$D$400,1,FALSE))</f>
        <v>0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 ht="20">
      <c r="A432" s="31">
        <v>431</v>
      </c>
      <c r="B432" s="18" t="s">
        <v>97</v>
      </c>
      <c r="C432" s="18" t="s">
        <v>73</v>
      </c>
      <c r="D432" s="18" t="s">
        <v>55</v>
      </c>
      <c r="E432" s="3" t="b">
        <f>ISTEXT(VLOOKUP(B432,Draft!$D$3:$D$400,1,FALSE))</f>
        <v>0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 ht="20">
      <c r="A433" s="31">
        <v>432</v>
      </c>
      <c r="B433" s="18" t="s">
        <v>88</v>
      </c>
      <c r="C433" s="18" t="s">
        <v>73</v>
      </c>
      <c r="D433" s="18" t="s">
        <v>69</v>
      </c>
      <c r="E433" s="3" t="b">
        <f>ISTEXT(VLOOKUP(B433,Draft!$D$3:$D$400,1,FALSE))</f>
        <v>0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 ht="20">
      <c r="A434" s="31">
        <v>433</v>
      </c>
      <c r="B434" s="18" t="s">
        <v>171</v>
      </c>
      <c r="C434" s="18" t="s">
        <v>73</v>
      </c>
      <c r="D434" s="18" t="s">
        <v>54</v>
      </c>
      <c r="E434" s="3" t="b">
        <f>ISTEXT(VLOOKUP(B434,Draft!$D$3:$D$400,1,FALSE))</f>
        <v>0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 ht="20">
      <c r="A435" s="31">
        <v>434</v>
      </c>
      <c r="B435" s="18" t="s">
        <v>84</v>
      </c>
      <c r="C435" s="18" t="s">
        <v>73</v>
      </c>
      <c r="D435" s="18" t="s">
        <v>12</v>
      </c>
      <c r="E435" s="3" t="b">
        <f>ISTEXT(VLOOKUP(B435,Draft!$D$3:$D$400,1,FALSE))</f>
        <v>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 ht="20">
      <c r="A436" s="31">
        <v>435</v>
      </c>
      <c r="B436" s="18" t="s">
        <v>81</v>
      </c>
      <c r="C436" s="18" t="s">
        <v>73</v>
      </c>
      <c r="D436" s="18" t="s">
        <v>17</v>
      </c>
      <c r="E436" s="3" t="b">
        <f>ISTEXT(VLOOKUP(B436,Draft!$D$3:$D$400,1,FALSE))</f>
        <v>0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 ht="20">
      <c r="A437" s="31">
        <v>436</v>
      </c>
      <c r="B437" s="18" t="s">
        <v>89</v>
      </c>
      <c r="C437" s="18" t="s">
        <v>73</v>
      </c>
      <c r="D437" s="18" t="s">
        <v>65</v>
      </c>
      <c r="E437" s="3" t="b">
        <f>ISTEXT(VLOOKUP(B437,Draft!$D$3:$D$400,1,FALSE))</f>
        <v>0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 ht="20">
      <c r="A438" s="31">
        <v>437</v>
      </c>
      <c r="B438" s="18" t="s">
        <v>79</v>
      </c>
      <c r="C438" s="18" t="s">
        <v>73</v>
      </c>
      <c r="D438" s="18" t="s">
        <v>165</v>
      </c>
      <c r="E438" s="3" t="b">
        <f>ISTEXT(VLOOKUP(B438,Draft!$D$3:$D$400,1,FALSE))</f>
        <v>0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 ht="20">
      <c r="A439" s="31">
        <v>438</v>
      </c>
      <c r="B439" s="18" t="s">
        <v>95</v>
      </c>
      <c r="C439" s="18" t="s">
        <v>73</v>
      </c>
      <c r="D439" s="18" t="s">
        <v>45</v>
      </c>
      <c r="E439" s="3" t="b">
        <f>ISTEXT(VLOOKUP(B439,Draft!$D$3:$D$400,1,FALSE))</f>
        <v>0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 ht="20">
      <c r="A440" s="31">
        <v>439</v>
      </c>
      <c r="B440" s="18" t="s">
        <v>83</v>
      </c>
      <c r="C440" s="18" t="s">
        <v>73</v>
      </c>
      <c r="D440" s="18" t="s">
        <v>10</v>
      </c>
      <c r="E440" s="3" t="b">
        <f>ISTEXT(VLOOKUP(B440,Draft!$D$3:$D$400,1,FALSE))</f>
        <v>0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 ht="20">
      <c r="A441" s="31">
        <v>440</v>
      </c>
      <c r="B441" s="18" t="s">
        <v>92</v>
      </c>
      <c r="C441" s="18" t="s">
        <v>73</v>
      </c>
      <c r="D441" s="18" t="s">
        <v>61</v>
      </c>
      <c r="E441" s="3" t="b">
        <f>ISTEXT(VLOOKUP(B441,Draft!$D$3:$D$400,1,FALSE))</f>
        <v>0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 ht="20">
      <c r="A442" s="31">
        <v>441</v>
      </c>
      <c r="B442" s="18" t="s">
        <v>172</v>
      </c>
      <c r="C442" s="18" t="s">
        <v>73</v>
      </c>
      <c r="D442" s="18" t="s">
        <v>62</v>
      </c>
      <c r="E442" s="3" t="b">
        <f>ISTEXT(VLOOKUP(B442,Draft!$D$3:$D$400,1,FALSE))</f>
        <v>0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 ht="20">
      <c r="A443" s="31">
        <v>442</v>
      </c>
      <c r="B443" s="18" t="s">
        <v>77</v>
      </c>
      <c r="C443" s="18" t="s">
        <v>73</v>
      </c>
      <c r="D443" s="18" t="s">
        <v>5</v>
      </c>
      <c r="E443" s="3" t="b">
        <f>ISTEXT(VLOOKUP(B443,Draft!$D$3:$D$400,1,FALSE))</f>
        <v>0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 ht="20">
      <c r="A444" s="31">
        <v>443</v>
      </c>
      <c r="B444" s="18" t="s">
        <v>169</v>
      </c>
      <c r="C444" s="18" t="s">
        <v>73</v>
      </c>
      <c r="D444" s="18" t="s">
        <v>7</v>
      </c>
      <c r="E444" s="3" t="b">
        <f>ISTEXT(VLOOKUP(B444,Draft!$D$3:$D$400,1,FALSE))</f>
        <v>0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 ht="20">
      <c r="A445" s="31">
        <v>444</v>
      </c>
      <c r="B445" s="18" t="s">
        <v>87</v>
      </c>
      <c r="C445" s="18" t="s">
        <v>73</v>
      </c>
      <c r="D445" s="18" t="s">
        <v>68</v>
      </c>
      <c r="E445" s="3" t="b">
        <f>ISTEXT(VLOOKUP(B445,Draft!$D$3:$D$400,1,FALSE))</f>
        <v>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 ht="20">
      <c r="A446" s="31">
        <v>445</v>
      </c>
      <c r="B446" s="18" t="s">
        <v>170</v>
      </c>
      <c r="C446" s="18" t="s">
        <v>73</v>
      </c>
      <c r="D446" s="18" t="s">
        <v>49</v>
      </c>
      <c r="E446" s="3" t="b">
        <f>ISTEXT(VLOOKUP(B446,Draft!$D$3:$D$400,1,FALSE))</f>
        <v>0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 ht="20">
      <c r="A447" s="31">
        <v>446</v>
      </c>
      <c r="B447" s="18" t="s">
        <v>90</v>
      </c>
      <c r="C447" s="18" t="s">
        <v>73</v>
      </c>
      <c r="D447" s="18" t="s">
        <v>58</v>
      </c>
      <c r="E447" s="3" t="b">
        <f>ISTEXT(VLOOKUP(B447,Draft!$D$3:$D$400,1,FALSE))</f>
        <v>0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 ht="20">
      <c r="A448" s="31">
        <v>447</v>
      </c>
      <c r="B448" s="18" t="s">
        <v>94</v>
      </c>
      <c r="C448" s="18" t="s">
        <v>73</v>
      </c>
      <c r="D448" s="18" t="s">
        <v>50</v>
      </c>
      <c r="E448" s="3" t="b">
        <f>ISTEXT(VLOOKUP(B448,Draft!$D$3:$D$400,1,FALSE))</f>
        <v>0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 ht="20">
      <c r="A449" s="31">
        <v>448</v>
      </c>
      <c r="B449" s="18" t="s">
        <v>167</v>
      </c>
      <c r="C449" s="18" t="s">
        <v>73</v>
      </c>
      <c r="D449" s="18" t="s">
        <v>63</v>
      </c>
      <c r="E449" s="3" t="b">
        <f>ISTEXT(VLOOKUP(B449,Draft!$D$3:$D$400,1,FALSE))</f>
        <v>0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 ht="20">
      <c r="A450" s="31">
        <v>449</v>
      </c>
      <c r="B450" s="18" t="s">
        <v>75</v>
      </c>
      <c r="C450" s="18" t="s">
        <v>73</v>
      </c>
      <c r="D450" s="18" t="s">
        <v>48</v>
      </c>
      <c r="E450" s="3" t="b">
        <f>ISTEXT(VLOOKUP(B450,Draft!$D$3:$D$400,1,FALSE))</f>
        <v>0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 ht="20">
      <c r="A451" s="31">
        <v>450</v>
      </c>
      <c r="B451" s="18" t="s">
        <v>168</v>
      </c>
      <c r="C451" s="18" t="s">
        <v>73</v>
      </c>
      <c r="D451" s="18" t="s">
        <v>64</v>
      </c>
      <c r="E451" s="3" t="b">
        <f>ISTEXT(VLOOKUP(B451,Draft!$D$3:$D$400,1,FALSE))</f>
        <v>0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 ht="20">
      <c r="A452" s="31">
        <v>451</v>
      </c>
      <c r="B452" s="18" t="s">
        <v>78</v>
      </c>
      <c r="C452" s="18" t="s">
        <v>73</v>
      </c>
      <c r="D452" s="18" t="s">
        <v>66</v>
      </c>
      <c r="E452" s="3" t="b">
        <f>ISTEXT(VLOOKUP(B452,Draft!$D$3:$D$400,1,FALSE))</f>
        <v>0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 ht="20">
      <c r="A453" s="31">
        <v>452</v>
      </c>
      <c r="B453" s="18" t="s">
        <v>164</v>
      </c>
      <c r="C453" s="18" t="s">
        <v>73</v>
      </c>
      <c r="D453" s="18" t="s">
        <v>60</v>
      </c>
      <c r="E453" s="3" t="b">
        <f>ISTEXT(VLOOKUP(B453,Draft!$D$3:$D$400,1,FALSE))</f>
        <v>0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 ht="20">
      <c r="A454" s="31">
        <v>453</v>
      </c>
      <c r="B454" s="18" t="s">
        <v>91</v>
      </c>
      <c r="C454" s="18" t="s">
        <v>73</v>
      </c>
      <c r="D454" s="18" t="s">
        <v>57</v>
      </c>
      <c r="E454" s="3" t="b">
        <f>ISTEXT(VLOOKUP(B454,Draft!$D$3:$D$400,1,FALSE))</f>
        <v>0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 ht="20">
      <c r="A455" s="31">
        <v>454</v>
      </c>
      <c r="B455" s="18" t="s">
        <v>93</v>
      </c>
      <c r="C455" s="18" t="s">
        <v>73</v>
      </c>
      <c r="D455" s="18" t="s">
        <v>56</v>
      </c>
      <c r="E455" s="3" t="b">
        <f>ISTEXT(VLOOKUP(B455,Draft!$D$3:$D$400,1,FALSE))</f>
        <v>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 ht="20">
      <c r="A456" s="31">
        <v>455</v>
      </c>
      <c r="B456" s="18" t="s">
        <v>74</v>
      </c>
      <c r="C456" s="18" t="s">
        <v>73</v>
      </c>
      <c r="D456" s="18" t="s">
        <v>53</v>
      </c>
      <c r="E456" s="3" t="b">
        <f>ISTEXT(VLOOKUP(B456,Draft!$D$3:$D$400,1,FALSE))</f>
        <v>0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 ht="20">
      <c r="A457" s="31">
        <v>456</v>
      </c>
      <c r="B457" s="18" t="s">
        <v>85</v>
      </c>
      <c r="C457" s="18" t="s">
        <v>73</v>
      </c>
      <c r="D457" s="18" t="s">
        <v>14</v>
      </c>
      <c r="E457" s="3" t="b">
        <f>ISTEXT(VLOOKUP(B457,Draft!$D$3:$D$400,1,FALSE))</f>
        <v>0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 ht="20">
      <c r="A458" s="31">
        <v>457</v>
      </c>
      <c r="B458" s="18" t="s">
        <v>80</v>
      </c>
      <c r="C458" s="18" t="s">
        <v>73</v>
      </c>
      <c r="D458" s="18" t="s">
        <v>59</v>
      </c>
      <c r="E458" s="3" t="b">
        <f>ISTEXT(VLOOKUP(B458,Draft!$D$3:$D$400,1,FALSE))</f>
        <v>0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 ht="20">
      <c r="A459" s="31">
        <v>458</v>
      </c>
      <c r="B459" s="18" t="s">
        <v>144</v>
      </c>
      <c r="C459" s="18" t="s">
        <v>73</v>
      </c>
      <c r="D459" s="18" t="s">
        <v>52</v>
      </c>
      <c r="E459" s="3" t="b">
        <f>ISTEXT(VLOOKUP(B459,Draft!$D$3:$D$400,1,FALSE))</f>
        <v>0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 ht="20">
      <c r="A460" s="31">
        <v>459</v>
      </c>
      <c r="B460" s="18" t="s">
        <v>103</v>
      </c>
      <c r="C460" s="18" t="s">
        <v>98</v>
      </c>
      <c r="D460" s="18" t="s">
        <v>17</v>
      </c>
      <c r="E460" s="3" t="b">
        <f>ISTEXT(VLOOKUP(B460,Draft!$D$3:$D$400,1,FALSE))</f>
        <v>0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 ht="20">
      <c r="A461" s="31">
        <v>460</v>
      </c>
      <c r="B461" s="18" t="s">
        <v>100</v>
      </c>
      <c r="C461" s="18" t="s">
        <v>98</v>
      </c>
      <c r="D461" s="18" t="s">
        <v>61</v>
      </c>
      <c r="E461" s="3" t="b">
        <f>ISTEXT(VLOOKUP(B461,Draft!$D$3:$D$400,1,FALSE))</f>
        <v>0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 ht="20">
      <c r="A462" s="31">
        <v>461</v>
      </c>
      <c r="B462" s="18" t="s">
        <v>111</v>
      </c>
      <c r="C462" s="18" t="s">
        <v>98</v>
      </c>
      <c r="D462" s="18" t="s">
        <v>50</v>
      </c>
      <c r="E462" s="3" t="b">
        <f>ISTEXT(VLOOKUP(B462,Draft!$D$3:$D$400,1,FALSE))</f>
        <v>0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 ht="20">
      <c r="A463" s="31">
        <v>462</v>
      </c>
      <c r="B463" s="18" t="s">
        <v>121</v>
      </c>
      <c r="C463" s="18" t="s">
        <v>98</v>
      </c>
      <c r="D463" s="18" t="s">
        <v>69</v>
      </c>
      <c r="E463" s="3" t="b">
        <f>ISTEXT(VLOOKUP(B463,Draft!$D$3:$D$400,1,FALSE))</f>
        <v>0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 ht="20">
      <c r="A464" s="31">
        <v>463</v>
      </c>
      <c r="B464" s="18" t="s">
        <v>104</v>
      </c>
      <c r="C464" s="18" t="s">
        <v>98</v>
      </c>
      <c r="D464" s="18" t="s">
        <v>15</v>
      </c>
      <c r="E464" s="3" t="b">
        <f>ISTEXT(VLOOKUP(B464,Draft!$D$3:$D$400,1,FALSE))</f>
        <v>0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 ht="20">
      <c r="A465" s="31">
        <v>464</v>
      </c>
      <c r="B465" s="18" t="s">
        <v>108</v>
      </c>
      <c r="C465" s="18" t="s">
        <v>98</v>
      </c>
      <c r="D465" s="18" t="s">
        <v>62</v>
      </c>
      <c r="E465" s="3" t="b">
        <f>ISTEXT(VLOOKUP(B465,Draft!$D$3:$D$400,1,FALSE))</f>
        <v>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 ht="20">
      <c r="A466" s="31">
        <v>465</v>
      </c>
      <c r="B466" s="18" t="s">
        <v>117</v>
      </c>
      <c r="C466" s="18" t="s">
        <v>98</v>
      </c>
      <c r="D466" s="18" t="s">
        <v>49</v>
      </c>
      <c r="E466" s="3" t="b">
        <f>ISTEXT(VLOOKUP(B466,Draft!$D$3:$D$400,1,FALSE))</f>
        <v>0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 ht="20">
      <c r="A467" s="31">
        <v>466</v>
      </c>
      <c r="B467" s="18" t="s">
        <v>105</v>
      </c>
      <c r="C467" s="18" t="s">
        <v>98</v>
      </c>
      <c r="D467" s="18" t="s">
        <v>54</v>
      </c>
      <c r="E467" s="3" t="b">
        <f>ISTEXT(VLOOKUP(B467,Draft!$D$3:$D$400,1,FALSE))</f>
        <v>0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 ht="20">
      <c r="A468" s="31">
        <v>467</v>
      </c>
      <c r="B468" s="18" t="s">
        <v>110</v>
      </c>
      <c r="C468" s="18" t="s">
        <v>98</v>
      </c>
      <c r="D468" s="18" t="s">
        <v>58</v>
      </c>
      <c r="E468" s="3" t="b">
        <f>ISTEXT(VLOOKUP(B468,Draft!$D$3:$D$400,1,FALSE))</f>
        <v>0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 ht="20">
      <c r="A469" s="31">
        <v>468</v>
      </c>
      <c r="B469" s="18" t="s">
        <v>122</v>
      </c>
      <c r="C469" s="18" t="s">
        <v>98</v>
      </c>
      <c r="D469" s="18" t="s">
        <v>64</v>
      </c>
      <c r="E469" s="3" t="b">
        <f>ISTEXT(VLOOKUP(B469,Draft!$D$3:$D$400,1,FALSE))</f>
        <v>0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 ht="20">
      <c r="A470" s="31">
        <v>469</v>
      </c>
      <c r="B470" s="18" t="s">
        <v>119</v>
      </c>
      <c r="C470" s="18" t="s">
        <v>98</v>
      </c>
      <c r="D470" s="18" t="s">
        <v>14</v>
      </c>
      <c r="E470" s="3" t="b">
        <f>ISTEXT(VLOOKUP(B470,Draft!$D$3:$D$400,1,FALSE))</f>
        <v>0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 ht="20">
      <c r="A471" s="31">
        <v>470</v>
      </c>
      <c r="B471" s="18" t="s">
        <v>120</v>
      </c>
      <c r="C471" s="18" t="s">
        <v>98</v>
      </c>
      <c r="D471" s="18" t="s">
        <v>47</v>
      </c>
      <c r="E471" s="3" t="b">
        <f>ISTEXT(VLOOKUP(B471,Draft!$D$3:$D$400,1,FALSE))</f>
        <v>0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 ht="20">
      <c r="A472" s="31">
        <v>471</v>
      </c>
      <c r="B472" s="18" t="s">
        <v>125</v>
      </c>
      <c r="C472" s="18" t="s">
        <v>98</v>
      </c>
      <c r="D472" s="18" t="s">
        <v>60</v>
      </c>
      <c r="E472" s="3" t="b">
        <f>ISTEXT(VLOOKUP(B472,Draft!$D$3:$D$400,1,FALSE))</f>
        <v>0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 ht="20">
      <c r="A473" s="31">
        <v>472</v>
      </c>
      <c r="B473" s="18" t="s">
        <v>128</v>
      </c>
      <c r="C473" s="18" t="s">
        <v>98</v>
      </c>
      <c r="D473" s="18" t="s">
        <v>63</v>
      </c>
      <c r="E473" s="3" t="b">
        <f>ISTEXT(VLOOKUP(B473,Draft!$D$3:$D$400,1,FALSE))</f>
        <v>0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 ht="20">
      <c r="A474" s="31">
        <v>473</v>
      </c>
      <c r="B474" s="18" t="s">
        <v>116</v>
      </c>
      <c r="C474" s="18" t="s">
        <v>98</v>
      </c>
      <c r="D474" s="18" t="s">
        <v>46</v>
      </c>
      <c r="E474" s="3" t="b">
        <f>ISTEXT(VLOOKUP(B474,Draft!$D$3:$D$400,1,FALSE))</f>
        <v>0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 ht="20">
      <c r="A475" s="31">
        <v>474</v>
      </c>
      <c r="B475" s="18" t="s">
        <v>112</v>
      </c>
      <c r="C475" s="18" t="s">
        <v>98</v>
      </c>
      <c r="D475" s="18" t="s">
        <v>51</v>
      </c>
      <c r="E475" s="3" t="b">
        <f>ISTEXT(VLOOKUP(B475,Draft!$D$3:$D$400,1,FALSE))</f>
        <v>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 ht="20">
      <c r="A476" s="31">
        <v>475</v>
      </c>
      <c r="B476" s="18" t="s">
        <v>129</v>
      </c>
      <c r="C476" s="18" t="s">
        <v>98</v>
      </c>
      <c r="D476" s="18" t="s">
        <v>66</v>
      </c>
      <c r="E476" s="3" t="b">
        <f>ISTEXT(VLOOKUP(B476,Draft!$D$3:$D$400,1,FALSE))</f>
        <v>0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 ht="20">
      <c r="A477" s="31">
        <v>476</v>
      </c>
      <c r="B477" s="18" t="s">
        <v>126</v>
      </c>
      <c r="C477" s="18" t="s">
        <v>98</v>
      </c>
      <c r="D477" s="18" t="s">
        <v>65</v>
      </c>
      <c r="E477" s="3" t="b">
        <f>ISTEXT(VLOOKUP(B477,Draft!$D$3:$D$400,1,FALSE))</f>
        <v>0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 ht="20">
      <c r="A478" s="31">
        <v>477</v>
      </c>
      <c r="B478" s="18" t="s">
        <v>123</v>
      </c>
      <c r="C478" s="18" t="s">
        <v>98</v>
      </c>
      <c r="D478" s="18" t="s">
        <v>48</v>
      </c>
      <c r="E478" s="3" t="b">
        <f>ISTEXT(VLOOKUP(B478,Draft!$D$3:$D$400,1,FALSE))</f>
        <v>0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 ht="20">
      <c r="A479" s="31">
        <v>478</v>
      </c>
      <c r="B479" s="18" t="s">
        <v>109</v>
      </c>
      <c r="C479" s="18" t="s">
        <v>98</v>
      </c>
      <c r="D479" s="18" t="s">
        <v>12</v>
      </c>
      <c r="E479" s="3" t="b">
        <f>ISTEXT(VLOOKUP(B479,Draft!$D$3:$D$400,1,FALSE))</f>
        <v>0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 ht="20">
      <c r="A480" s="31">
        <v>479</v>
      </c>
      <c r="B480" s="18" t="s">
        <v>114</v>
      </c>
      <c r="C480" s="18" t="s">
        <v>98</v>
      </c>
      <c r="D480" s="18" t="s">
        <v>45</v>
      </c>
      <c r="E480" s="3" t="b">
        <f>ISTEXT(VLOOKUP(B480,Draft!$D$3:$D$400,1,FALSE))</f>
        <v>0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 ht="20">
      <c r="A481" s="31">
        <v>480</v>
      </c>
      <c r="B481" s="18" t="s">
        <v>101</v>
      </c>
      <c r="C481" s="18" t="s">
        <v>98</v>
      </c>
      <c r="D481" s="18" t="s">
        <v>10</v>
      </c>
      <c r="E481" s="3" t="b">
        <f>ISTEXT(VLOOKUP(B481,Draft!$D$3:$D$400,1,FALSE))</f>
        <v>0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 ht="20">
      <c r="A482" s="31">
        <v>481</v>
      </c>
      <c r="B482" s="18" t="s">
        <v>127</v>
      </c>
      <c r="C482" s="18" t="s">
        <v>98</v>
      </c>
      <c r="D482" s="18" t="s">
        <v>68</v>
      </c>
      <c r="E482" s="3" t="b">
        <f>ISTEXT(VLOOKUP(B482,Draft!$D$3:$D$400,1,FALSE))</f>
        <v>0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 ht="20">
      <c r="A483" s="31">
        <v>482</v>
      </c>
      <c r="B483" s="18" t="s">
        <v>106</v>
      </c>
      <c r="C483" s="18" t="s">
        <v>98</v>
      </c>
      <c r="D483" s="18" t="s">
        <v>52</v>
      </c>
      <c r="E483" s="3" t="b">
        <f>ISTEXT(VLOOKUP(B483,Draft!$D$3:$D$400,1,FALSE))</f>
        <v>0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 ht="20">
      <c r="A484" s="31">
        <v>483</v>
      </c>
      <c r="B484" s="18" t="s">
        <v>107</v>
      </c>
      <c r="C484" s="18" t="s">
        <v>98</v>
      </c>
      <c r="D484" s="18" t="s">
        <v>53</v>
      </c>
      <c r="E484" s="3" t="b">
        <f>ISTEXT(VLOOKUP(B484,Draft!$D$3:$D$400,1,FALSE))</f>
        <v>0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 ht="20">
      <c r="A485" s="31">
        <v>484</v>
      </c>
      <c r="B485" s="18" t="s">
        <v>113</v>
      </c>
      <c r="C485" s="18" t="s">
        <v>98</v>
      </c>
      <c r="D485" s="18" t="s">
        <v>7</v>
      </c>
      <c r="E485" s="3" t="b">
        <f>ISTEXT(VLOOKUP(B485,Draft!$D$3:$D$400,1,FALSE))</f>
        <v>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 ht="20">
      <c r="A486" s="31">
        <v>485</v>
      </c>
      <c r="B486" s="18" t="s">
        <v>102</v>
      </c>
      <c r="C486" s="18" t="s">
        <v>98</v>
      </c>
      <c r="D486" s="18" t="s">
        <v>5</v>
      </c>
      <c r="E486" s="3" t="b">
        <f>ISTEXT(VLOOKUP(B486,Draft!$D$3:$D$400,1,FALSE))</f>
        <v>0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 ht="20">
      <c r="A487" s="31">
        <v>486</v>
      </c>
      <c r="B487" s="18" t="s">
        <v>118</v>
      </c>
      <c r="C487" s="18" t="s">
        <v>98</v>
      </c>
      <c r="D487" s="18" t="s">
        <v>56</v>
      </c>
      <c r="E487" s="3" t="b">
        <f>ISTEXT(VLOOKUP(B487,Draft!$D$3:$D$400,1,FALSE))</f>
        <v>0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 ht="20">
      <c r="A488" s="31">
        <v>487</v>
      </c>
      <c r="B488" s="18" t="s">
        <v>99</v>
      </c>
      <c r="C488" s="18" t="s">
        <v>98</v>
      </c>
      <c r="D488" s="18" t="s">
        <v>55</v>
      </c>
      <c r="E488" s="3" t="b">
        <f>ISTEXT(VLOOKUP(B488,Draft!$D$3:$D$400,1,FALSE))</f>
        <v>0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 ht="20">
      <c r="A489" s="31">
        <v>488</v>
      </c>
      <c r="B489" s="18" t="s">
        <v>124</v>
      </c>
      <c r="C489" s="18" t="s">
        <v>98</v>
      </c>
      <c r="D489" s="18" t="s">
        <v>57</v>
      </c>
      <c r="E489" s="3" t="b">
        <f>ISTEXT(VLOOKUP(B489,Draft!$D$3:$D$400,1,FALSE))</f>
        <v>0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 ht="20">
      <c r="A490" s="31">
        <v>489</v>
      </c>
      <c r="B490" s="18" t="s">
        <v>115</v>
      </c>
      <c r="C490" s="18" t="s">
        <v>98</v>
      </c>
      <c r="D490" s="18" t="s">
        <v>59</v>
      </c>
      <c r="E490" s="3" t="b">
        <f>ISTEXT(VLOOKUP(B490,Draft!$D$3:$D$400,1,FALSE))</f>
        <v>0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 ht="20">
      <c r="A491" s="31">
        <v>9999</v>
      </c>
      <c r="B491" s="2" t="s">
        <v>166</v>
      </c>
      <c r="C491" s="2" t="s">
        <v>166</v>
      </c>
      <c r="D491" s="2" t="s">
        <v>166</v>
      </c>
      <c r="E491" s="3" t="b">
        <f>ISTEXT(VLOOKUP(B491,Draft!$D$3:$D$400,1,FALSE))</f>
        <v>1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>
      <c r="A492" s="14"/>
      <c r="H492" s="12"/>
    </row>
    <row r="493" spans="1:25">
      <c r="A493" s="14"/>
    </row>
    <row r="494" spans="1:25">
      <c r="A494" s="14"/>
    </row>
    <row r="495" spans="1:25">
      <c r="A495" s="14"/>
    </row>
    <row r="496" spans="1:25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 ht="15" customHeight="1">
      <c r="A507" s="14"/>
    </row>
    <row r="508" spans="1:1" ht="15" customHeight="1">
      <c r="A508" s="14"/>
    </row>
    <row r="509" spans="1:1" ht="15" customHeight="1">
      <c r="A509" s="14"/>
    </row>
    <row r="510" spans="1:1" ht="15" customHeight="1">
      <c r="A510" s="14"/>
    </row>
    <row r="511" spans="1:1" ht="15" customHeight="1">
      <c r="A511" s="14"/>
    </row>
    <row r="512" spans="1:1" ht="15" customHeight="1">
      <c r="A512" s="14"/>
    </row>
    <row r="513" spans="1:1" ht="15" customHeight="1">
      <c r="A513" s="14"/>
    </row>
    <row r="514" spans="1:1" ht="15" customHeight="1">
      <c r="A514" s="14"/>
    </row>
    <row r="515" spans="1:1" ht="15" customHeight="1">
      <c r="A515" s="14"/>
    </row>
    <row r="516" spans="1:1">
      <c r="A516" s="14"/>
    </row>
    <row r="517" spans="1:1" ht="20" customHeight="1">
      <c r="A517" s="14"/>
    </row>
    <row r="518" spans="1:1" ht="20" customHeight="1">
      <c r="A518" s="14"/>
    </row>
    <row r="519" spans="1:1" ht="20" customHeight="1">
      <c r="A519" s="14"/>
    </row>
    <row r="520" spans="1:1" ht="20" customHeight="1">
      <c r="A520" s="14"/>
    </row>
    <row r="521" spans="1:1" ht="20" customHeight="1">
      <c r="A521" s="14"/>
    </row>
    <row r="522" spans="1:1" ht="20" customHeight="1">
      <c r="A522" s="14"/>
    </row>
    <row r="523" spans="1:1" ht="20" customHeight="1">
      <c r="A523" s="14"/>
    </row>
    <row r="524" spans="1:1" ht="20" customHeight="1">
      <c r="A524" s="14"/>
    </row>
    <row r="525" spans="1:1" ht="20" customHeight="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 ht="20" customHeight="1">
      <c r="A533" s="14"/>
    </row>
    <row r="534" spans="1:1" ht="20" customHeight="1">
      <c r="A534" s="14"/>
    </row>
    <row r="535" spans="1:1" ht="20" customHeight="1">
      <c r="A535" s="14"/>
    </row>
    <row r="536" spans="1:1" ht="20" customHeight="1">
      <c r="A536" s="14"/>
    </row>
    <row r="537" spans="1:1" ht="20" customHeight="1">
      <c r="A537" s="14"/>
    </row>
    <row r="538" spans="1:1" ht="20" customHeight="1">
      <c r="A538" s="14"/>
    </row>
    <row r="539" spans="1:1" ht="20" customHeight="1">
      <c r="A539" s="14"/>
    </row>
    <row r="540" spans="1:1" ht="20" customHeight="1">
      <c r="A540" s="14"/>
    </row>
    <row r="541" spans="1:1" ht="20" customHeight="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</sheetData>
  <sheetProtection insertRows="0" sort="0" autoFilter="0"/>
  <autoFilter ref="A1:E541">
    <sortState ref="A239:E305">
      <sortCondition ref="B1:B432"/>
    </sortState>
  </autoFilter>
  <phoneticPr fontId="2" type="noConversion"/>
  <conditionalFormatting sqref="A2:F491 B428:D490 B149:B238 D149:D238 C149:C427 A2:A490 E2:E491">
    <cfRule type="expression" dxfId="0" priority="3">
      <formula>IF($E2=TRUE,TRUE,FALSE)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8" r:id="rId3" name="Button 1072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69" r:id="rId4" name="Button 10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0" r:id="rId5" name="Button 10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1" r:id="rId6" name="Button 10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2" r:id="rId7" name="Button 10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3" r:id="rId8" name="Button 10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4" r:id="rId9" name="Button 10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5" r:id="rId10" name="Button 10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6" r:id="rId11" name="Button 10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7" r:id="rId12" name="Button 10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8" r:id="rId13" name="Button 10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9" r:id="rId14" name="Button 10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0" r:id="rId15" name="Button 10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1" r:id="rId16" name="Button 10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2" r:id="rId17" name="Button 10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3" r:id="rId18" name="Button 10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4" r:id="rId19" name="Button 10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5" r:id="rId20" name="Button 10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6" r:id="rId21" name="Button 10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7" r:id="rId22" name="Button 10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8" r:id="rId23" name="Button 10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9" r:id="rId24" name="Button 10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0" r:id="rId25" name="Button 10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1" r:id="rId26" name="Button 10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2" r:id="rId27" name="Button 10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3" r:id="rId28" name="Button 10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4" r:id="rId29" name="Button 10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5" r:id="rId30" name="Button 10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6" r:id="rId31" name="Button 11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7" r:id="rId32" name="Button 11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8" r:id="rId33" name="Button 11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9" r:id="rId34" name="Button 11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0" r:id="rId35" name="Button 11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1" r:id="rId36" name="Button 11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2" r:id="rId37" name="Button 11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3" r:id="rId38" name="Button 11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4" r:id="rId39" name="Button 11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5" r:id="rId40" name="Button 11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6" r:id="rId41" name="Button 11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7" r:id="rId42" name="Button 11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8" r:id="rId43" name="Button 11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9" r:id="rId44" name="Button 11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0" r:id="rId45" name="Button 11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1" r:id="rId46" name="Button 11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2" r:id="rId47" name="Button 11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3" r:id="rId48" name="Button 11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4" r:id="rId49" name="Button 11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5" r:id="rId50" name="Button 11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6" r:id="rId51" name="Button 11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7" r:id="rId52" name="Button 11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8" r:id="rId53" name="Button 11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9" r:id="rId54" name="Button 11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0" r:id="rId55" name="Button 11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1" r:id="rId56" name="Button 11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" r:id="rId57" name="Button 11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3" r:id="rId58" name="Button 11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4" r:id="rId59" name="Button 11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5" r:id="rId60" name="Button 11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6" r:id="rId61" name="Button 11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7" r:id="rId62" name="Button 11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8" r:id="rId63" name="Button 11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9" r:id="rId64" name="Button 11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0" r:id="rId65" name="Button 11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1" r:id="rId66" name="Button 11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2" r:id="rId67" name="Button 11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3" r:id="rId68" name="Button 11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4" r:id="rId69" name="Button 11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5" r:id="rId70" name="Button 11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6" r:id="rId71" name="Button 11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7" r:id="rId72" name="Button 11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8" r:id="rId73" name="Button 11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9" r:id="rId74" name="Button 11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0" r:id="rId75" name="Button 11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1" r:id="rId76" name="Button 11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6</xdr:col>
                    <xdr:colOff>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2" r:id="rId77" name="Button 11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3" r:id="rId78" name="Button 11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6</xdr:col>
                    <xdr:colOff>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4" r:id="rId79" name="Button 11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6</xdr:col>
                    <xdr:colOff>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5" r:id="rId80" name="Button 11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6</xdr:col>
                    <xdr:colOff>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6" r:id="rId81" name="Button 11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6</xdr:col>
                    <xdr:colOff>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7" r:id="rId82" name="Button 11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8" r:id="rId83" name="Button 11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6</xdr:col>
                    <xdr:colOff>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9" r:id="rId84" name="Button 11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6</xdr:col>
                    <xdr:colOff>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0" r:id="rId85" name="Button 11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6</xdr:col>
                    <xdr:colOff>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1" r:id="rId86" name="Button 11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6</xdr:col>
                    <xdr:colOff>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2" r:id="rId87" name="Button 11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6</xdr:col>
                    <xdr:colOff>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3" r:id="rId88" name="Button 11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6</xdr:col>
                    <xdr:colOff>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4" r:id="rId89" name="Button 11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6</xdr:col>
                    <xdr:colOff>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5" r:id="rId90" name="Button 11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6</xdr:col>
                    <xdr:colOff>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6" r:id="rId91" name="Button 11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6</xdr:col>
                    <xdr:colOff>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7" r:id="rId92" name="Button 11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6</xdr:col>
                    <xdr:colOff>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8" r:id="rId93" name="Button 11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6</xdr:col>
                    <xdr:colOff>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9" r:id="rId94" name="Button 11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6</xdr:col>
                    <xdr:colOff>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0" r:id="rId95" name="Button 11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6</xdr:col>
                    <xdr:colOff>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1" r:id="rId96" name="Button 11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6</xdr:col>
                    <xdr:colOff>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2" r:id="rId97" name="Button 11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6</xdr:col>
                    <xdr:colOff>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3" r:id="rId98" name="Button 11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6</xdr:col>
                    <xdr:colOff>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4" r:id="rId99" name="Button 11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6</xdr:col>
                    <xdr:colOff>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5" r:id="rId100" name="Button 11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6</xdr:col>
                    <xdr:colOff>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6" r:id="rId101" name="Button 11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6</xdr:col>
                    <xdr:colOff>0</xdr:colOff>
                    <xdr:row>100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7" r:id="rId102" name="Button 11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6</xdr:col>
                    <xdr:colOff>0</xdr:colOff>
                    <xdr:row>101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8" r:id="rId103" name="Button 11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6</xdr:col>
                    <xdr:colOff>0</xdr:colOff>
                    <xdr:row>102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9" r:id="rId104" name="Button 11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6</xdr:col>
                    <xdr:colOff>0</xdr:colOff>
                    <xdr:row>103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0" r:id="rId105" name="Button 11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1" r:id="rId106" name="Button 11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6</xdr:col>
                    <xdr:colOff>0</xdr:colOff>
                    <xdr:row>105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2" r:id="rId107" name="Button 11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6</xdr:col>
                    <xdr:colOff>0</xdr:colOff>
                    <xdr:row>106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3" r:id="rId108" name="Button 11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6</xdr:col>
                    <xdr:colOff>0</xdr:colOff>
                    <xdr:row>107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4" r:id="rId109" name="Button 11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6</xdr:col>
                    <xdr:colOff>0</xdr:colOff>
                    <xdr:row>108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5" r:id="rId110" name="Button 11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6" r:id="rId111" name="Button 11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6</xdr:col>
                    <xdr:colOff>0</xdr:colOff>
                    <xdr:row>110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7" r:id="rId112" name="Button 11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8" r:id="rId113" name="Button 11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9" r:id="rId114" name="Button 11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0" r:id="rId115" name="Button 11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1" r:id="rId116" name="Button 11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6</xdr:col>
                    <xdr:colOff>0</xdr:colOff>
                    <xdr:row>115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2" r:id="rId117" name="Button 11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3" r:id="rId118" name="Button 11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4" r:id="rId119" name="Button 11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5" r:id="rId120" name="Button 11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6" r:id="rId121" name="Button 11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6</xdr:col>
                    <xdr:colOff>0</xdr:colOff>
                    <xdr:row>120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7" r:id="rId122" name="Button 11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6</xdr:col>
                    <xdr:colOff>0</xdr:colOff>
                    <xdr:row>121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8" r:id="rId123" name="Button 11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9" r:id="rId124" name="Button 11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6</xdr:col>
                    <xdr:colOff>0</xdr:colOff>
                    <xdr:row>123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0" r:id="rId125" name="Button 11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1" r:id="rId126" name="Button 11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6</xdr:col>
                    <xdr:colOff>0</xdr:colOff>
                    <xdr:row>125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2" r:id="rId127" name="Button 11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6</xdr:col>
                    <xdr:colOff>0</xdr:colOff>
                    <xdr:row>126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3" r:id="rId128" name="Button 11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6</xdr:col>
                    <xdr:colOff>0</xdr:colOff>
                    <xdr:row>127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4" r:id="rId129" name="Button 11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6</xdr:col>
                    <xdr:colOff>0</xdr:colOff>
                    <xdr:row>128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5" r:id="rId130" name="Button 11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6</xdr:col>
                    <xdr:colOff>0</xdr:colOff>
                    <xdr:row>129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6" r:id="rId131" name="Button 12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7" r:id="rId132" name="Button 12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8" r:id="rId133" name="Button 12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9" r:id="rId134" name="Button 12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0" r:id="rId135" name="Button 12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1" r:id="rId136" name="Button 12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2" r:id="rId137" name="Button 12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3" r:id="rId138" name="Button 12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4" r:id="rId139" name="Button 12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5" r:id="rId140" name="Button 12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6" r:id="rId141" name="Button 12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7" r:id="rId142" name="Button 12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8" r:id="rId143" name="Button 12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9" r:id="rId144" name="Button 12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0" r:id="rId145" name="Button 12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1" r:id="rId146" name="Button 12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2" r:id="rId147" name="Button 12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3" r:id="rId148" name="Button 12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4" r:id="rId149" name="Button 12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6</xdr:col>
                    <xdr:colOff>0</xdr:colOff>
                    <xdr:row>148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5" r:id="rId150" name="Button 12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6" r:id="rId151" name="Button 12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7" r:id="rId152" name="Button 12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8" r:id="rId153" name="Button 12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9" r:id="rId154" name="Button 12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6</xdr:col>
                    <xdr:colOff>0</xdr:colOff>
                    <xdr:row>153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0" r:id="rId155" name="Button 12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1" r:id="rId156" name="Button 12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2" r:id="rId157" name="Button 12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3" r:id="rId158" name="Button 12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4" r:id="rId159" name="Button 12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5" r:id="rId160" name="Button 12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6" r:id="rId161" name="Button 12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7" r:id="rId162" name="Button 12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6</xdr:col>
                    <xdr:colOff>0</xdr:colOff>
                    <xdr:row>161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8" r:id="rId163" name="Button 12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9" r:id="rId164" name="Button 12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0" r:id="rId165" name="Button 12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1" r:id="rId166" name="Button 12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2" r:id="rId167" name="Button 12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3" r:id="rId168" name="Button 1237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4" r:id="rId169" name="Button 12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6</xdr:col>
                    <xdr:colOff>0</xdr:colOff>
                    <xdr:row>168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5" r:id="rId170" name="Button 12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6</xdr:col>
                    <xdr:colOff>0</xdr:colOff>
                    <xdr:row>169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6" r:id="rId171" name="Button 12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6</xdr:col>
                    <xdr:colOff>0</xdr:colOff>
                    <xdr:row>170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7" r:id="rId172" name="Button 12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6</xdr:col>
                    <xdr:colOff>0</xdr:colOff>
                    <xdr:row>171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8" r:id="rId173" name="Button 12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6</xdr:col>
                    <xdr:colOff>0</xdr:colOff>
                    <xdr:row>172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9" r:id="rId174" name="Button 12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6</xdr:col>
                    <xdr:colOff>0</xdr:colOff>
                    <xdr:row>173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0" r:id="rId175" name="Button 12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6</xdr:col>
                    <xdr:colOff>0</xdr:colOff>
                    <xdr:row>174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1" r:id="rId176" name="Button 12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6</xdr:col>
                    <xdr:colOff>0</xdr:colOff>
                    <xdr:row>175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2" r:id="rId177" name="Button 12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6</xdr:col>
                    <xdr:colOff>0</xdr:colOff>
                    <xdr:row>176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3" r:id="rId178" name="Button 12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6</xdr:col>
                    <xdr:colOff>0</xdr:colOff>
                    <xdr:row>177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4" r:id="rId179" name="Button 12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6</xdr:col>
                    <xdr:colOff>0</xdr:colOff>
                    <xdr:row>178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5" r:id="rId180" name="Button 12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178</xdr:row>
                    <xdr:rowOff>0</xdr:rowOff>
                  </from>
                  <to>
                    <xdr:col>6</xdr:col>
                    <xdr:colOff>0</xdr:colOff>
                    <xdr:row>179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6" r:id="rId181" name="Button 12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179</xdr:row>
                    <xdr:rowOff>0</xdr:rowOff>
                  </from>
                  <to>
                    <xdr:col>6</xdr:col>
                    <xdr:colOff>0</xdr:colOff>
                    <xdr:row>180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7" r:id="rId182" name="Button 12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180</xdr:row>
                    <xdr:rowOff>0</xdr:rowOff>
                  </from>
                  <to>
                    <xdr:col>6</xdr:col>
                    <xdr:colOff>0</xdr:colOff>
                    <xdr:row>181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8" r:id="rId183" name="Button 12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181</xdr:row>
                    <xdr:rowOff>0</xdr:rowOff>
                  </from>
                  <to>
                    <xdr:col>6</xdr:col>
                    <xdr:colOff>0</xdr:colOff>
                    <xdr:row>182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9" r:id="rId184" name="Button 12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182</xdr:row>
                    <xdr:rowOff>0</xdr:rowOff>
                  </from>
                  <to>
                    <xdr:col>6</xdr:col>
                    <xdr:colOff>0</xdr:colOff>
                    <xdr:row>183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0" r:id="rId185" name="Button 12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183</xdr:row>
                    <xdr:rowOff>0</xdr:rowOff>
                  </from>
                  <to>
                    <xdr:col>6</xdr:col>
                    <xdr:colOff>0</xdr:colOff>
                    <xdr:row>184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1" r:id="rId186" name="Button 12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184</xdr:row>
                    <xdr:rowOff>0</xdr:rowOff>
                  </from>
                  <to>
                    <xdr:col>6</xdr:col>
                    <xdr:colOff>0</xdr:colOff>
                    <xdr:row>185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2" r:id="rId187" name="Button 12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185</xdr:row>
                    <xdr:rowOff>0</xdr:rowOff>
                  </from>
                  <to>
                    <xdr:col>6</xdr:col>
                    <xdr:colOff>0</xdr:colOff>
                    <xdr:row>186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3" r:id="rId188" name="Button 12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186</xdr:row>
                    <xdr:rowOff>0</xdr:rowOff>
                  </from>
                  <to>
                    <xdr:col>6</xdr:col>
                    <xdr:colOff>0</xdr:colOff>
                    <xdr:row>187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4" r:id="rId189" name="Button 12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187</xdr:row>
                    <xdr:rowOff>0</xdr:rowOff>
                  </from>
                  <to>
                    <xdr:col>6</xdr:col>
                    <xdr:colOff>0</xdr:colOff>
                    <xdr:row>188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5" r:id="rId190" name="Button 12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188</xdr:row>
                    <xdr:rowOff>0</xdr:rowOff>
                  </from>
                  <to>
                    <xdr:col>6</xdr:col>
                    <xdr:colOff>0</xdr:colOff>
                    <xdr:row>189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6" r:id="rId191" name="Button 12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7" r:id="rId192" name="Button 12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190</xdr:row>
                    <xdr:rowOff>0</xdr:rowOff>
                  </from>
                  <to>
                    <xdr:col>6</xdr:col>
                    <xdr:colOff>0</xdr:colOff>
                    <xdr:row>191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8" r:id="rId193" name="Button 12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191</xdr:row>
                    <xdr:rowOff>0</xdr:rowOff>
                  </from>
                  <to>
                    <xdr:col>6</xdr:col>
                    <xdr:colOff>0</xdr:colOff>
                    <xdr:row>192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9" r:id="rId194" name="Button 12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192</xdr:row>
                    <xdr:rowOff>0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0" r:id="rId195" name="Button 12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193</xdr:row>
                    <xdr:rowOff>0</xdr:rowOff>
                  </from>
                  <to>
                    <xdr:col>6</xdr:col>
                    <xdr:colOff>0</xdr:colOff>
                    <xdr:row>194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1" r:id="rId196" name="Button 12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2" r:id="rId197" name="Button 12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195</xdr:row>
                    <xdr:rowOff>0</xdr:rowOff>
                  </from>
                  <to>
                    <xdr:col>6</xdr:col>
                    <xdr:colOff>0</xdr:colOff>
                    <xdr:row>196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3" r:id="rId198" name="Button 12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196</xdr:row>
                    <xdr:rowOff>0</xdr:rowOff>
                  </from>
                  <to>
                    <xdr:col>6</xdr:col>
                    <xdr:colOff>0</xdr:colOff>
                    <xdr:row>197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4" r:id="rId199" name="Button 12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197</xdr:row>
                    <xdr:rowOff>0</xdr:rowOff>
                  </from>
                  <to>
                    <xdr:col>6</xdr:col>
                    <xdr:colOff>0</xdr:colOff>
                    <xdr:row>198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5" r:id="rId200" name="Button 12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198</xdr:row>
                    <xdr:rowOff>0</xdr:rowOff>
                  </from>
                  <to>
                    <xdr:col>6</xdr:col>
                    <xdr:colOff>0</xdr:colOff>
                    <xdr:row>199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6" r:id="rId201" name="Button 12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7" r:id="rId202" name="Button 12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200</xdr:row>
                    <xdr:rowOff>0</xdr:rowOff>
                  </from>
                  <to>
                    <xdr:col>6</xdr:col>
                    <xdr:colOff>0</xdr:colOff>
                    <xdr:row>201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8" r:id="rId203" name="Button 12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201</xdr:row>
                    <xdr:rowOff>0</xdr:rowOff>
                  </from>
                  <to>
                    <xdr:col>6</xdr:col>
                    <xdr:colOff>0</xdr:colOff>
                    <xdr:row>202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9" r:id="rId204" name="Button 12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202</xdr:row>
                    <xdr:rowOff>0</xdr:rowOff>
                  </from>
                  <to>
                    <xdr:col>6</xdr:col>
                    <xdr:colOff>0</xdr:colOff>
                    <xdr:row>203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0" r:id="rId205" name="Button 12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203</xdr:row>
                    <xdr:rowOff>0</xdr:rowOff>
                  </from>
                  <to>
                    <xdr:col>6</xdr:col>
                    <xdr:colOff>0</xdr:colOff>
                    <xdr:row>204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1" r:id="rId206" name="Button 12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2" r:id="rId207" name="Button 12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205</xdr:row>
                    <xdr:rowOff>0</xdr:rowOff>
                  </from>
                  <to>
                    <xdr:col>6</xdr:col>
                    <xdr:colOff>0</xdr:colOff>
                    <xdr:row>206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3" r:id="rId208" name="Button 12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206</xdr:row>
                    <xdr:rowOff>0</xdr:rowOff>
                  </from>
                  <to>
                    <xdr:col>6</xdr:col>
                    <xdr:colOff>0</xdr:colOff>
                    <xdr:row>207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4" r:id="rId209" name="Button 12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207</xdr:row>
                    <xdr:rowOff>0</xdr:rowOff>
                  </from>
                  <to>
                    <xdr:col>6</xdr:col>
                    <xdr:colOff>0</xdr:colOff>
                    <xdr:row>208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5" r:id="rId210" name="Button 12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208</xdr:row>
                    <xdr:rowOff>0</xdr:rowOff>
                  </from>
                  <to>
                    <xdr:col>6</xdr:col>
                    <xdr:colOff>0</xdr:colOff>
                    <xdr:row>209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6" r:id="rId211" name="Button 12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7" r:id="rId212" name="Button 12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210</xdr:row>
                    <xdr:rowOff>0</xdr:rowOff>
                  </from>
                  <to>
                    <xdr:col>6</xdr:col>
                    <xdr:colOff>0</xdr:colOff>
                    <xdr:row>211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8" r:id="rId213" name="Button 12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211</xdr:row>
                    <xdr:rowOff>0</xdr:rowOff>
                  </from>
                  <to>
                    <xdr:col>6</xdr:col>
                    <xdr:colOff>0</xdr:colOff>
                    <xdr:row>212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9" r:id="rId214" name="Button 12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212</xdr:row>
                    <xdr:rowOff>0</xdr:rowOff>
                  </from>
                  <to>
                    <xdr:col>6</xdr:col>
                    <xdr:colOff>0</xdr:colOff>
                    <xdr:row>213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0" r:id="rId215" name="Button 12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213</xdr:row>
                    <xdr:rowOff>0</xdr:rowOff>
                  </from>
                  <to>
                    <xdr:col>6</xdr:col>
                    <xdr:colOff>0</xdr:colOff>
                    <xdr:row>214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1" r:id="rId216" name="Button 12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214</xdr:row>
                    <xdr:rowOff>0</xdr:rowOff>
                  </from>
                  <to>
                    <xdr:col>6</xdr:col>
                    <xdr:colOff>0</xdr:colOff>
                    <xdr:row>215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2" r:id="rId217" name="Button 12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215</xdr:row>
                    <xdr:rowOff>0</xdr:rowOff>
                  </from>
                  <to>
                    <xdr:col>6</xdr:col>
                    <xdr:colOff>0</xdr:colOff>
                    <xdr:row>216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3" r:id="rId218" name="Button 12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216</xdr:row>
                    <xdr:rowOff>0</xdr:rowOff>
                  </from>
                  <to>
                    <xdr:col>6</xdr:col>
                    <xdr:colOff>0</xdr:colOff>
                    <xdr:row>217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4" r:id="rId219" name="Button 12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217</xdr:row>
                    <xdr:rowOff>0</xdr:rowOff>
                  </from>
                  <to>
                    <xdr:col>6</xdr:col>
                    <xdr:colOff>0</xdr:colOff>
                    <xdr:row>218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5" r:id="rId220" name="Button 12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218</xdr:row>
                    <xdr:rowOff>0</xdr:rowOff>
                  </from>
                  <to>
                    <xdr:col>6</xdr:col>
                    <xdr:colOff>0</xdr:colOff>
                    <xdr:row>219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6" r:id="rId221" name="Button 12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219</xdr:row>
                    <xdr:rowOff>0</xdr:rowOff>
                  </from>
                  <to>
                    <xdr:col>6</xdr:col>
                    <xdr:colOff>0</xdr:colOff>
                    <xdr:row>220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7" r:id="rId222" name="Button 12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220</xdr:row>
                    <xdr:rowOff>0</xdr:rowOff>
                  </from>
                  <to>
                    <xdr:col>6</xdr:col>
                    <xdr:colOff>0</xdr:colOff>
                    <xdr:row>221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8" r:id="rId223" name="Button 12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221</xdr:row>
                    <xdr:rowOff>0</xdr:rowOff>
                  </from>
                  <to>
                    <xdr:col>6</xdr:col>
                    <xdr:colOff>0</xdr:colOff>
                    <xdr:row>222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9" r:id="rId224" name="Button 12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222</xdr:row>
                    <xdr:rowOff>0</xdr:rowOff>
                  </from>
                  <to>
                    <xdr:col>6</xdr:col>
                    <xdr:colOff>0</xdr:colOff>
                    <xdr:row>223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0" r:id="rId225" name="Button 12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223</xdr:row>
                    <xdr:rowOff>0</xdr:rowOff>
                  </from>
                  <to>
                    <xdr:col>6</xdr:col>
                    <xdr:colOff>0</xdr:colOff>
                    <xdr:row>224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1" r:id="rId226" name="Button 12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224</xdr:row>
                    <xdr:rowOff>0</xdr:rowOff>
                  </from>
                  <to>
                    <xdr:col>6</xdr:col>
                    <xdr:colOff>0</xdr:colOff>
                    <xdr:row>225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2" r:id="rId227" name="Button 12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225</xdr:row>
                    <xdr:rowOff>0</xdr:rowOff>
                  </from>
                  <to>
                    <xdr:col>6</xdr:col>
                    <xdr:colOff>0</xdr:colOff>
                    <xdr:row>226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3" r:id="rId228" name="Button 12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226</xdr:row>
                    <xdr:rowOff>0</xdr:rowOff>
                  </from>
                  <to>
                    <xdr:col>6</xdr:col>
                    <xdr:colOff>0</xdr:colOff>
                    <xdr:row>227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4" r:id="rId229" name="Button 12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227</xdr:row>
                    <xdr:rowOff>0</xdr:rowOff>
                  </from>
                  <to>
                    <xdr:col>6</xdr:col>
                    <xdr:colOff>0</xdr:colOff>
                    <xdr:row>228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5" r:id="rId230" name="Button 12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228</xdr:row>
                    <xdr:rowOff>0</xdr:rowOff>
                  </from>
                  <to>
                    <xdr:col>6</xdr:col>
                    <xdr:colOff>0</xdr:colOff>
                    <xdr:row>229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6" r:id="rId231" name="Button 13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229</xdr:row>
                    <xdr:rowOff>0</xdr:rowOff>
                  </from>
                  <to>
                    <xdr:col>6</xdr:col>
                    <xdr:colOff>0</xdr:colOff>
                    <xdr:row>230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7" r:id="rId232" name="Button 13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230</xdr:row>
                    <xdr:rowOff>0</xdr:rowOff>
                  </from>
                  <to>
                    <xdr:col>6</xdr:col>
                    <xdr:colOff>0</xdr:colOff>
                    <xdr:row>231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8" r:id="rId233" name="Button 13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231</xdr:row>
                    <xdr:rowOff>0</xdr:rowOff>
                  </from>
                  <to>
                    <xdr:col>6</xdr:col>
                    <xdr:colOff>0</xdr:colOff>
                    <xdr:row>232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9" r:id="rId234" name="Button 13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0" r:id="rId235" name="Button 13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233</xdr:row>
                    <xdr:rowOff>0</xdr:rowOff>
                  </from>
                  <to>
                    <xdr:col>6</xdr:col>
                    <xdr:colOff>0</xdr:colOff>
                    <xdr:row>234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1" r:id="rId236" name="Button 13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234</xdr:row>
                    <xdr:rowOff>0</xdr:rowOff>
                  </from>
                  <to>
                    <xdr:col>6</xdr:col>
                    <xdr:colOff>0</xdr:colOff>
                    <xdr:row>235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2" r:id="rId237" name="Button 13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235</xdr:row>
                    <xdr:rowOff>0</xdr:rowOff>
                  </from>
                  <to>
                    <xdr:col>6</xdr:col>
                    <xdr:colOff>0</xdr:colOff>
                    <xdr:row>236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3" r:id="rId238" name="Button 13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236</xdr:row>
                    <xdr:rowOff>0</xdr:rowOff>
                  </from>
                  <to>
                    <xdr:col>6</xdr:col>
                    <xdr:colOff>0</xdr:colOff>
                    <xdr:row>237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4" r:id="rId239" name="Button 13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5" r:id="rId240" name="Button 13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238</xdr:row>
                    <xdr:rowOff>0</xdr:rowOff>
                  </from>
                  <to>
                    <xdr:col>6</xdr:col>
                    <xdr:colOff>0</xdr:colOff>
                    <xdr:row>239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6" r:id="rId241" name="Button 13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239</xdr:row>
                    <xdr:rowOff>0</xdr:rowOff>
                  </from>
                  <to>
                    <xdr:col>6</xdr:col>
                    <xdr:colOff>0</xdr:colOff>
                    <xdr:row>240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7" r:id="rId242" name="Button 13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240</xdr:row>
                    <xdr:rowOff>0</xdr:rowOff>
                  </from>
                  <to>
                    <xdr:col>6</xdr:col>
                    <xdr:colOff>0</xdr:colOff>
                    <xdr:row>241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8" r:id="rId243" name="Button 13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241</xdr:row>
                    <xdr:rowOff>0</xdr:rowOff>
                  </from>
                  <to>
                    <xdr:col>6</xdr:col>
                    <xdr:colOff>0</xdr:colOff>
                    <xdr:row>242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9" r:id="rId244" name="Button 13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0" r:id="rId245" name="Button 13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243</xdr:row>
                    <xdr:rowOff>0</xdr:rowOff>
                  </from>
                  <to>
                    <xdr:col>6</xdr:col>
                    <xdr:colOff>0</xdr:colOff>
                    <xdr:row>244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1" r:id="rId246" name="Button 13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244</xdr:row>
                    <xdr:rowOff>0</xdr:rowOff>
                  </from>
                  <to>
                    <xdr:col>6</xdr:col>
                    <xdr:colOff>0</xdr:colOff>
                    <xdr:row>245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2" r:id="rId247" name="Button 13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245</xdr:row>
                    <xdr:rowOff>0</xdr:rowOff>
                  </from>
                  <to>
                    <xdr:col>6</xdr:col>
                    <xdr:colOff>0</xdr:colOff>
                    <xdr:row>246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3" r:id="rId248" name="Button 13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246</xdr:row>
                    <xdr:rowOff>0</xdr:rowOff>
                  </from>
                  <to>
                    <xdr:col>6</xdr:col>
                    <xdr:colOff>0</xdr:colOff>
                    <xdr:row>247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4" r:id="rId249" name="Button 13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5" r:id="rId250" name="Button 13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248</xdr:row>
                    <xdr:rowOff>0</xdr:rowOff>
                  </from>
                  <to>
                    <xdr:col>6</xdr:col>
                    <xdr:colOff>0</xdr:colOff>
                    <xdr:row>249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6" r:id="rId251" name="Button 13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249</xdr:row>
                    <xdr:rowOff>0</xdr:rowOff>
                  </from>
                  <to>
                    <xdr:col>6</xdr:col>
                    <xdr:colOff>0</xdr:colOff>
                    <xdr:row>250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7" r:id="rId252" name="Button 13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250</xdr:row>
                    <xdr:rowOff>0</xdr:rowOff>
                  </from>
                  <to>
                    <xdr:col>6</xdr:col>
                    <xdr:colOff>0</xdr:colOff>
                    <xdr:row>251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8" r:id="rId253" name="Button 13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251</xdr:row>
                    <xdr:rowOff>0</xdr:rowOff>
                  </from>
                  <to>
                    <xdr:col>6</xdr:col>
                    <xdr:colOff>0</xdr:colOff>
                    <xdr:row>252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9" r:id="rId254" name="Button 13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0" r:id="rId255" name="Button 13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253</xdr:row>
                    <xdr:rowOff>0</xdr:rowOff>
                  </from>
                  <to>
                    <xdr:col>6</xdr:col>
                    <xdr:colOff>0</xdr:colOff>
                    <xdr:row>254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1" r:id="rId256" name="Button 13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254</xdr:row>
                    <xdr:rowOff>0</xdr:rowOff>
                  </from>
                  <to>
                    <xdr:col>6</xdr:col>
                    <xdr:colOff>0</xdr:colOff>
                    <xdr:row>255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2" r:id="rId257" name="Button 13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255</xdr:row>
                    <xdr:rowOff>0</xdr:rowOff>
                  </from>
                  <to>
                    <xdr:col>6</xdr:col>
                    <xdr:colOff>0</xdr:colOff>
                    <xdr:row>256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3" r:id="rId258" name="Button 13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256</xdr:row>
                    <xdr:rowOff>0</xdr:rowOff>
                  </from>
                  <to>
                    <xdr:col>6</xdr:col>
                    <xdr:colOff>0</xdr:colOff>
                    <xdr:row>257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4" r:id="rId259" name="Button 13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257</xdr:row>
                    <xdr:rowOff>0</xdr:rowOff>
                  </from>
                  <to>
                    <xdr:col>6</xdr:col>
                    <xdr:colOff>0</xdr:colOff>
                    <xdr:row>258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5" r:id="rId260" name="Button 13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258</xdr:row>
                    <xdr:rowOff>0</xdr:rowOff>
                  </from>
                  <to>
                    <xdr:col>6</xdr:col>
                    <xdr:colOff>0</xdr:colOff>
                    <xdr:row>259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6" r:id="rId261" name="Button 13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259</xdr:row>
                    <xdr:rowOff>0</xdr:rowOff>
                  </from>
                  <to>
                    <xdr:col>6</xdr:col>
                    <xdr:colOff>0</xdr:colOff>
                    <xdr:row>260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7" r:id="rId262" name="Button 13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260</xdr:row>
                    <xdr:rowOff>0</xdr:rowOff>
                  </from>
                  <to>
                    <xdr:col>6</xdr:col>
                    <xdr:colOff>0</xdr:colOff>
                    <xdr:row>261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8" r:id="rId263" name="Button 13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261</xdr:row>
                    <xdr:rowOff>0</xdr:rowOff>
                  </from>
                  <to>
                    <xdr:col>6</xdr:col>
                    <xdr:colOff>0</xdr:colOff>
                    <xdr:row>262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9" r:id="rId264" name="Button 13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262</xdr:row>
                    <xdr:rowOff>0</xdr:rowOff>
                  </from>
                  <to>
                    <xdr:col>6</xdr:col>
                    <xdr:colOff>0</xdr:colOff>
                    <xdr:row>263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0" r:id="rId265" name="Button 13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263</xdr:row>
                    <xdr:rowOff>0</xdr:rowOff>
                  </from>
                  <to>
                    <xdr:col>6</xdr:col>
                    <xdr:colOff>0</xdr:colOff>
                    <xdr:row>264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1" r:id="rId266" name="Button 13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264</xdr:row>
                    <xdr:rowOff>0</xdr:rowOff>
                  </from>
                  <to>
                    <xdr:col>6</xdr:col>
                    <xdr:colOff>0</xdr:colOff>
                    <xdr:row>265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2" r:id="rId267" name="Button 13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265</xdr:row>
                    <xdr:rowOff>0</xdr:rowOff>
                  </from>
                  <to>
                    <xdr:col>6</xdr:col>
                    <xdr:colOff>0</xdr:colOff>
                    <xdr:row>266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3" r:id="rId268" name="Button 13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266</xdr:row>
                    <xdr:rowOff>0</xdr:rowOff>
                  </from>
                  <to>
                    <xdr:col>6</xdr:col>
                    <xdr:colOff>0</xdr:colOff>
                    <xdr:row>267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4" r:id="rId269" name="Button 13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267</xdr:row>
                    <xdr:rowOff>0</xdr:rowOff>
                  </from>
                  <to>
                    <xdr:col>6</xdr:col>
                    <xdr:colOff>0</xdr:colOff>
                    <xdr:row>268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5" r:id="rId270" name="Button 13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268</xdr:row>
                    <xdr:rowOff>0</xdr:rowOff>
                  </from>
                  <to>
                    <xdr:col>6</xdr:col>
                    <xdr:colOff>0</xdr:colOff>
                    <xdr:row>269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6" r:id="rId271" name="Button 13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269</xdr:row>
                    <xdr:rowOff>0</xdr:rowOff>
                  </from>
                  <to>
                    <xdr:col>6</xdr:col>
                    <xdr:colOff>0</xdr:colOff>
                    <xdr:row>270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7" r:id="rId272" name="Button 13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270</xdr:row>
                    <xdr:rowOff>0</xdr:rowOff>
                  </from>
                  <to>
                    <xdr:col>6</xdr:col>
                    <xdr:colOff>0</xdr:colOff>
                    <xdr:row>271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8" r:id="rId273" name="Button 13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271</xdr:row>
                    <xdr:rowOff>0</xdr:rowOff>
                  </from>
                  <to>
                    <xdr:col>6</xdr:col>
                    <xdr:colOff>0</xdr:colOff>
                    <xdr:row>272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9" r:id="rId274" name="Button 13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272</xdr:row>
                    <xdr:rowOff>0</xdr:rowOff>
                  </from>
                  <to>
                    <xdr:col>6</xdr:col>
                    <xdr:colOff>0</xdr:colOff>
                    <xdr:row>273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0" r:id="rId275" name="Button 13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273</xdr:row>
                    <xdr:rowOff>0</xdr:rowOff>
                  </from>
                  <to>
                    <xdr:col>6</xdr:col>
                    <xdr:colOff>0</xdr:colOff>
                    <xdr:row>274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1" r:id="rId276" name="Button 13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274</xdr:row>
                    <xdr:rowOff>0</xdr:rowOff>
                  </from>
                  <to>
                    <xdr:col>6</xdr:col>
                    <xdr:colOff>0</xdr:colOff>
                    <xdr:row>275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2" r:id="rId277" name="Button 13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3" r:id="rId278" name="Button 13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276</xdr:row>
                    <xdr:rowOff>0</xdr:rowOff>
                  </from>
                  <to>
                    <xdr:col>6</xdr:col>
                    <xdr:colOff>0</xdr:colOff>
                    <xdr:row>277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4" r:id="rId279" name="Button 13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277</xdr:row>
                    <xdr:rowOff>0</xdr:rowOff>
                  </from>
                  <to>
                    <xdr:col>6</xdr:col>
                    <xdr:colOff>0</xdr:colOff>
                    <xdr:row>278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5" r:id="rId280" name="Button 13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278</xdr:row>
                    <xdr:rowOff>0</xdr:rowOff>
                  </from>
                  <to>
                    <xdr:col>6</xdr:col>
                    <xdr:colOff>0</xdr:colOff>
                    <xdr:row>279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6" r:id="rId281" name="Button 13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279</xdr:row>
                    <xdr:rowOff>0</xdr:rowOff>
                  </from>
                  <to>
                    <xdr:col>6</xdr:col>
                    <xdr:colOff>0</xdr:colOff>
                    <xdr:row>280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7" r:id="rId282" name="Button 13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8" r:id="rId283" name="Button 13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281</xdr:row>
                    <xdr:rowOff>0</xdr:rowOff>
                  </from>
                  <to>
                    <xdr:col>6</xdr:col>
                    <xdr:colOff>0</xdr:colOff>
                    <xdr:row>282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9" r:id="rId284" name="Button 13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282</xdr:row>
                    <xdr:rowOff>0</xdr:rowOff>
                  </from>
                  <to>
                    <xdr:col>6</xdr:col>
                    <xdr:colOff>0</xdr:colOff>
                    <xdr:row>283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0" r:id="rId285" name="Button 13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283</xdr:row>
                    <xdr:rowOff>0</xdr:rowOff>
                  </from>
                  <to>
                    <xdr:col>6</xdr:col>
                    <xdr:colOff>0</xdr:colOff>
                    <xdr:row>284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1" r:id="rId286" name="Button 13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284</xdr:row>
                    <xdr:rowOff>0</xdr:rowOff>
                  </from>
                  <to>
                    <xdr:col>6</xdr:col>
                    <xdr:colOff>0</xdr:colOff>
                    <xdr:row>285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2" r:id="rId287" name="Button 13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3" r:id="rId288" name="Button 13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286</xdr:row>
                    <xdr:rowOff>0</xdr:rowOff>
                  </from>
                  <to>
                    <xdr:col>6</xdr:col>
                    <xdr:colOff>0</xdr:colOff>
                    <xdr:row>287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4" r:id="rId289" name="Button 13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287</xdr:row>
                    <xdr:rowOff>0</xdr:rowOff>
                  </from>
                  <to>
                    <xdr:col>6</xdr:col>
                    <xdr:colOff>0</xdr:colOff>
                    <xdr:row>288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5" r:id="rId290" name="Button 13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288</xdr:row>
                    <xdr:rowOff>0</xdr:rowOff>
                  </from>
                  <to>
                    <xdr:col>6</xdr:col>
                    <xdr:colOff>0</xdr:colOff>
                    <xdr:row>289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6" r:id="rId291" name="Button 13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289</xdr:row>
                    <xdr:rowOff>0</xdr:rowOff>
                  </from>
                  <to>
                    <xdr:col>6</xdr:col>
                    <xdr:colOff>0</xdr:colOff>
                    <xdr:row>290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7" r:id="rId292" name="Button 13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8" r:id="rId293" name="Button 13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291</xdr:row>
                    <xdr:rowOff>0</xdr:rowOff>
                  </from>
                  <to>
                    <xdr:col>6</xdr:col>
                    <xdr:colOff>0</xdr:colOff>
                    <xdr:row>292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9" r:id="rId294" name="Button 13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292</xdr:row>
                    <xdr:rowOff>0</xdr:rowOff>
                  </from>
                  <to>
                    <xdr:col>6</xdr:col>
                    <xdr:colOff>0</xdr:colOff>
                    <xdr:row>293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0" r:id="rId295" name="Button 13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293</xdr:row>
                    <xdr:rowOff>0</xdr:rowOff>
                  </from>
                  <to>
                    <xdr:col>6</xdr:col>
                    <xdr:colOff>0</xdr:colOff>
                    <xdr:row>294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1" r:id="rId296" name="Button 13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294</xdr:row>
                    <xdr:rowOff>0</xdr:rowOff>
                  </from>
                  <to>
                    <xdr:col>6</xdr:col>
                    <xdr:colOff>0</xdr:colOff>
                    <xdr:row>295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2" r:id="rId297" name="Button 13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3" r:id="rId298" name="Button 13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296</xdr:row>
                    <xdr:rowOff>0</xdr:rowOff>
                  </from>
                  <to>
                    <xdr:col>6</xdr:col>
                    <xdr:colOff>0</xdr:colOff>
                    <xdr:row>297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4" r:id="rId299" name="Button 13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297</xdr:row>
                    <xdr:rowOff>0</xdr:rowOff>
                  </from>
                  <to>
                    <xdr:col>6</xdr:col>
                    <xdr:colOff>0</xdr:colOff>
                    <xdr:row>298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5" r:id="rId300" name="Button 13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298</xdr:row>
                    <xdr:rowOff>0</xdr:rowOff>
                  </from>
                  <to>
                    <xdr:col>6</xdr:col>
                    <xdr:colOff>0</xdr:colOff>
                    <xdr:row>299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6" r:id="rId301" name="Button 13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299</xdr:row>
                    <xdr:rowOff>0</xdr:rowOff>
                  </from>
                  <to>
                    <xdr:col>6</xdr:col>
                    <xdr:colOff>0</xdr:colOff>
                    <xdr:row>300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7" r:id="rId302" name="Button 13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300</xdr:row>
                    <xdr:rowOff>0</xdr:rowOff>
                  </from>
                  <to>
                    <xdr:col>6</xdr:col>
                    <xdr:colOff>0</xdr:colOff>
                    <xdr:row>301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8" r:id="rId303" name="Button 13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301</xdr:row>
                    <xdr:rowOff>0</xdr:rowOff>
                  </from>
                  <to>
                    <xdr:col>6</xdr:col>
                    <xdr:colOff>0</xdr:colOff>
                    <xdr:row>302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9" r:id="rId304" name="Button 13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302</xdr:row>
                    <xdr:rowOff>0</xdr:rowOff>
                  </from>
                  <to>
                    <xdr:col>6</xdr:col>
                    <xdr:colOff>0</xdr:colOff>
                    <xdr:row>303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0" r:id="rId305" name="Button 13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303</xdr:row>
                    <xdr:rowOff>0</xdr:rowOff>
                  </from>
                  <to>
                    <xdr:col>6</xdr:col>
                    <xdr:colOff>0</xdr:colOff>
                    <xdr:row>304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1" r:id="rId306" name="Button 13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304</xdr:row>
                    <xdr:rowOff>0</xdr:rowOff>
                  </from>
                  <to>
                    <xdr:col>6</xdr:col>
                    <xdr:colOff>0</xdr:colOff>
                    <xdr:row>305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2" r:id="rId307" name="Button 13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305</xdr:row>
                    <xdr:rowOff>0</xdr:rowOff>
                  </from>
                  <to>
                    <xdr:col>6</xdr:col>
                    <xdr:colOff>0</xdr:colOff>
                    <xdr:row>306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3" r:id="rId308" name="Button 13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306</xdr:row>
                    <xdr:rowOff>0</xdr:rowOff>
                  </from>
                  <to>
                    <xdr:col>6</xdr:col>
                    <xdr:colOff>0</xdr:colOff>
                    <xdr:row>307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4" r:id="rId309" name="Button 13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307</xdr:row>
                    <xdr:rowOff>0</xdr:rowOff>
                  </from>
                  <to>
                    <xdr:col>6</xdr:col>
                    <xdr:colOff>0</xdr:colOff>
                    <xdr:row>308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5" r:id="rId310" name="Button 13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308</xdr:row>
                    <xdr:rowOff>0</xdr:rowOff>
                  </from>
                  <to>
                    <xdr:col>6</xdr:col>
                    <xdr:colOff>0</xdr:colOff>
                    <xdr:row>309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6" r:id="rId311" name="Button 13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309</xdr:row>
                    <xdr:rowOff>0</xdr:rowOff>
                  </from>
                  <to>
                    <xdr:col>6</xdr:col>
                    <xdr:colOff>0</xdr:colOff>
                    <xdr:row>310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7" r:id="rId312" name="Button 13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310</xdr:row>
                    <xdr:rowOff>0</xdr:rowOff>
                  </from>
                  <to>
                    <xdr:col>6</xdr:col>
                    <xdr:colOff>0</xdr:colOff>
                    <xdr:row>311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8" r:id="rId313" name="Button 13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311</xdr:row>
                    <xdr:rowOff>0</xdr:rowOff>
                  </from>
                  <to>
                    <xdr:col>6</xdr:col>
                    <xdr:colOff>0</xdr:colOff>
                    <xdr:row>312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9" r:id="rId314" name="Button 13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312</xdr:row>
                    <xdr:rowOff>0</xdr:rowOff>
                  </from>
                  <to>
                    <xdr:col>6</xdr:col>
                    <xdr:colOff>0</xdr:colOff>
                    <xdr:row>313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0" r:id="rId315" name="Button 13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313</xdr:row>
                    <xdr:rowOff>0</xdr:rowOff>
                  </from>
                  <to>
                    <xdr:col>6</xdr:col>
                    <xdr:colOff>0</xdr:colOff>
                    <xdr:row>314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1" r:id="rId316" name="Button 13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314</xdr:row>
                    <xdr:rowOff>0</xdr:rowOff>
                  </from>
                  <to>
                    <xdr:col>6</xdr:col>
                    <xdr:colOff>0</xdr:colOff>
                    <xdr:row>315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2" r:id="rId317" name="Button 13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315</xdr:row>
                    <xdr:rowOff>0</xdr:rowOff>
                  </from>
                  <to>
                    <xdr:col>6</xdr:col>
                    <xdr:colOff>0</xdr:colOff>
                    <xdr:row>316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3" r:id="rId318" name="Button 13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316</xdr:row>
                    <xdr:rowOff>0</xdr:rowOff>
                  </from>
                  <to>
                    <xdr:col>6</xdr:col>
                    <xdr:colOff>0</xdr:colOff>
                    <xdr:row>317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4" r:id="rId319" name="Button 13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317</xdr:row>
                    <xdr:rowOff>0</xdr:rowOff>
                  </from>
                  <to>
                    <xdr:col>6</xdr:col>
                    <xdr:colOff>0</xdr:colOff>
                    <xdr:row>318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5" r:id="rId320" name="Button 13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6" r:id="rId321" name="Button 13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319</xdr:row>
                    <xdr:rowOff>0</xdr:rowOff>
                  </from>
                  <to>
                    <xdr:col>6</xdr:col>
                    <xdr:colOff>0</xdr:colOff>
                    <xdr:row>320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7" r:id="rId322" name="Button 13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320</xdr:row>
                    <xdr:rowOff>0</xdr:rowOff>
                  </from>
                  <to>
                    <xdr:col>6</xdr:col>
                    <xdr:colOff>0</xdr:colOff>
                    <xdr:row>321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8" r:id="rId323" name="Button 13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321</xdr:row>
                    <xdr:rowOff>0</xdr:rowOff>
                  </from>
                  <to>
                    <xdr:col>6</xdr:col>
                    <xdr:colOff>0</xdr:colOff>
                    <xdr:row>322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9" r:id="rId324" name="Button 13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322</xdr:row>
                    <xdr:rowOff>0</xdr:rowOff>
                  </from>
                  <to>
                    <xdr:col>6</xdr:col>
                    <xdr:colOff>0</xdr:colOff>
                    <xdr:row>323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0" r:id="rId325" name="Button 13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1" r:id="rId326" name="Button 13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324</xdr:row>
                    <xdr:rowOff>0</xdr:rowOff>
                  </from>
                  <to>
                    <xdr:col>6</xdr:col>
                    <xdr:colOff>0</xdr:colOff>
                    <xdr:row>325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2" r:id="rId327" name="Button 13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325</xdr:row>
                    <xdr:rowOff>0</xdr:rowOff>
                  </from>
                  <to>
                    <xdr:col>6</xdr:col>
                    <xdr:colOff>0</xdr:colOff>
                    <xdr:row>326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3" r:id="rId328" name="Button 13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326</xdr:row>
                    <xdr:rowOff>0</xdr:rowOff>
                  </from>
                  <to>
                    <xdr:col>6</xdr:col>
                    <xdr:colOff>0</xdr:colOff>
                    <xdr:row>327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4" r:id="rId329" name="Button 13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327</xdr:row>
                    <xdr:rowOff>0</xdr:rowOff>
                  </from>
                  <to>
                    <xdr:col>6</xdr:col>
                    <xdr:colOff>0</xdr:colOff>
                    <xdr:row>328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5" r:id="rId330" name="Button 13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6" r:id="rId331" name="Button 14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329</xdr:row>
                    <xdr:rowOff>0</xdr:rowOff>
                  </from>
                  <to>
                    <xdr:col>6</xdr:col>
                    <xdr:colOff>0</xdr:colOff>
                    <xdr:row>330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7" r:id="rId332" name="Button 14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330</xdr:row>
                    <xdr:rowOff>0</xdr:rowOff>
                  </from>
                  <to>
                    <xdr:col>6</xdr:col>
                    <xdr:colOff>0</xdr:colOff>
                    <xdr:row>331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8" r:id="rId333" name="Button 14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331</xdr:row>
                    <xdr:rowOff>0</xdr:rowOff>
                  </from>
                  <to>
                    <xdr:col>6</xdr:col>
                    <xdr:colOff>0</xdr:colOff>
                    <xdr:row>332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9" r:id="rId334" name="Button 14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332</xdr:row>
                    <xdr:rowOff>0</xdr:rowOff>
                  </from>
                  <to>
                    <xdr:col>6</xdr:col>
                    <xdr:colOff>0</xdr:colOff>
                    <xdr:row>333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0" r:id="rId335" name="Button 14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1" r:id="rId336" name="Button 14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334</xdr:row>
                    <xdr:rowOff>0</xdr:rowOff>
                  </from>
                  <to>
                    <xdr:col>6</xdr:col>
                    <xdr:colOff>0</xdr:colOff>
                    <xdr:row>335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2" r:id="rId337" name="Button 14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335</xdr:row>
                    <xdr:rowOff>0</xdr:rowOff>
                  </from>
                  <to>
                    <xdr:col>6</xdr:col>
                    <xdr:colOff>0</xdr:colOff>
                    <xdr:row>336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3" r:id="rId338" name="Button 14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336</xdr:row>
                    <xdr:rowOff>0</xdr:rowOff>
                  </from>
                  <to>
                    <xdr:col>6</xdr:col>
                    <xdr:colOff>0</xdr:colOff>
                    <xdr:row>337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4" r:id="rId339" name="Button 14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337</xdr:row>
                    <xdr:rowOff>0</xdr:rowOff>
                  </from>
                  <to>
                    <xdr:col>6</xdr:col>
                    <xdr:colOff>0</xdr:colOff>
                    <xdr:row>338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5" r:id="rId340" name="Button 14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6" r:id="rId341" name="Button 14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339</xdr:row>
                    <xdr:rowOff>0</xdr:rowOff>
                  </from>
                  <to>
                    <xdr:col>6</xdr:col>
                    <xdr:colOff>0</xdr:colOff>
                    <xdr:row>340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7" r:id="rId342" name="Button 14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340</xdr:row>
                    <xdr:rowOff>0</xdr:rowOff>
                  </from>
                  <to>
                    <xdr:col>6</xdr:col>
                    <xdr:colOff>0</xdr:colOff>
                    <xdr:row>341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8" r:id="rId343" name="Button 14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341</xdr:row>
                    <xdr:rowOff>0</xdr:rowOff>
                  </from>
                  <to>
                    <xdr:col>6</xdr:col>
                    <xdr:colOff>0</xdr:colOff>
                    <xdr:row>342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9" r:id="rId344" name="Button 14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342</xdr:row>
                    <xdr:rowOff>0</xdr:rowOff>
                  </from>
                  <to>
                    <xdr:col>6</xdr:col>
                    <xdr:colOff>0</xdr:colOff>
                    <xdr:row>343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0" r:id="rId345" name="Button 14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343</xdr:row>
                    <xdr:rowOff>0</xdr:rowOff>
                  </from>
                  <to>
                    <xdr:col>6</xdr:col>
                    <xdr:colOff>0</xdr:colOff>
                    <xdr:row>344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1" r:id="rId346" name="Button 14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344</xdr:row>
                    <xdr:rowOff>0</xdr:rowOff>
                  </from>
                  <to>
                    <xdr:col>6</xdr:col>
                    <xdr:colOff>0</xdr:colOff>
                    <xdr:row>345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2" r:id="rId347" name="Button 14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345</xdr:row>
                    <xdr:rowOff>0</xdr:rowOff>
                  </from>
                  <to>
                    <xdr:col>6</xdr:col>
                    <xdr:colOff>0</xdr:colOff>
                    <xdr:row>346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3" r:id="rId348" name="Button 14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346</xdr:row>
                    <xdr:rowOff>0</xdr:rowOff>
                  </from>
                  <to>
                    <xdr:col>6</xdr:col>
                    <xdr:colOff>0</xdr:colOff>
                    <xdr:row>347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4" r:id="rId349" name="Button 14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347</xdr:row>
                    <xdr:rowOff>0</xdr:rowOff>
                  </from>
                  <to>
                    <xdr:col>6</xdr:col>
                    <xdr:colOff>0</xdr:colOff>
                    <xdr:row>348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5" r:id="rId350" name="Button 14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348</xdr:row>
                    <xdr:rowOff>0</xdr:rowOff>
                  </from>
                  <to>
                    <xdr:col>6</xdr:col>
                    <xdr:colOff>0</xdr:colOff>
                    <xdr:row>349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6" r:id="rId351" name="Button 14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349</xdr:row>
                    <xdr:rowOff>0</xdr:rowOff>
                  </from>
                  <to>
                    <xdr:col>6</xdr:col>
                    <xdr:colOff>0</xdr:colOff>
                    <xdr:row>350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7" r:id="rId352" name="Button 14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350</xdr:row>
                    <xdr:rowOff>0</xdr:rowOff>
                  </from>
                  <to>
                    <xdr:col>6</xdr:col>
                    <xdr:colOff>0</xdr:colOff>
                    <xdr:row>351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8" r:id="rId353" name="Button 14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351</xdr:row>
                    <xdr:rowOff>0</xdr:rowOff>
                  </from>
                  <to>
                    <xdr:col>6</xdr:col>
                    <xdr:colOff>0</xdr:colOff>
                    <xdr:row>352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9" r:id="rId354" name="Button 14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352</xdr:row>
                    <xdr:rowOff>0</xdr:rowOff>
                  </from>
                  <to>
                    <xdr:col>6</xdr:col>
                    <xdr:colOff>0</xdr:colOff>
                    <xdr:row>353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0" r:id="rId355" name="Button 14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353</xdr:row>
                    <xdr:rowOff>0</xdr:rowOff>
                  </from>
                  <to>
                    <xdr:col>6</xdr:col>
                    <xdr:colOff>0</xdr:colOff>
                    <xdr:row>354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1" r:id="rId356" name="Button 14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354</xdr:row>
                    <xdr:rowOff>0</xdr:rowOff>
                  </from>
                  <to>
                    <xdr:col>6</xdr:col>
                    <xdr:colOff>0</xdr:colOff>
                    <xdr:row>355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2" r:id="rId357" name="Button 14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355</xdr:row>
                    <xdr:rowOff>0</xdr:rowOff>
                  </from>
                  <to>
                    <xdr:col>6</xdr:col>
                    <xdr:colOff>0</xdr:colOff>
                    <xdr:row>356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3" r:id="rId358" name="Button 14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356</xdr:row>
                    <xdr:rowOff>0</xdr:rowOff>
                  </from>
                  <to>
                    <xdr:col>6</xdr:col>
                    <xdr:colOff>0</xdr:colOff>
                    <xdr:row>357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4" r:id="rId359" name="Button 14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357</xdr:row>
                    <xdr:rowOff>0</xdr:rowOff>
                  </from>
                  <to>
                    <xdr:col>6</xdr:col>
                    <xdr:colOff>0</xdr:colOff>
                    <xdr:row>358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5" r:id="rId360" name="Button 14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358</xdr:row>
                    <xdr:rowOff>0</xdr:rowOff>
                  </from>
                  <to>
                    <xdr:col>6</xdr:col>
                    <xdr:colOff>0</xdr:colOff>
                    <xdr:row>359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6" r:id="rId361" name="Button 14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359</xdr:row>
                    <xdr:rowOff>0</xdr:rowOff>
                  </from>
                  <to>
                    <xdr:col>6</xdr:col>
                    <xdr:colOff>0</xdr:colOff>
                    <xdr:row>360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7" r:id="rId362" name="Button 14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360</xdr:row>
                    <xdr:rowOff>0</xdr:rowOff>
                  </from>
                  <to>
                    <xdr:col>6</xdr:col>
                    <xdr:colOff>0</xdr:colOff>
                    <xdr:row>361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8" r:id="rId363" name="Button 14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9" r:id="rId364" name="Button 14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362</xdr:row>
                    <xdr:rowOff>0</xdr:rowOff>
                  </from>
                  <to>
                    <xdr:col>6</xdr:col>
                    <xdr:colOff>0</xdr:colOff>
                    <xdr:row>363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0" r:id="rId365" name="Button 14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363</xdr:row>
                    <xdr:rowOff>0</xdr:rowOff>
                  </from>
                  <to>
                    <xdr:col>6</xdr:col>
                    <xdr:colOff>0</xdr:colOff>
                    <xdr:row>364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1" r:id="rId366" name="Button 14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364</xdr:row>
                    <xdr:rowOff>0</xdr:rowOff>
                  </from>
                  <to>
                    <xdr:col>6</xdr:col>
                    <xdr:colOff>0</xdr:colOff>
                    <xdr:row>365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2" r:id="rId367" name="Button 14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365</xdr:row>
                    <xdr:rowOff>0</xdr:rowOff>
                  </from>
                  <to>
                    <xdr:col>6</xdr:col>
                    <xdr:colOff>0</xdr:colOff>
                    <xdr:row>366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3" r:id="rId368" name="Button 14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4" r:id="rId369" name="Button 14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367</xdr:row>
                    <xdr:rowOff>0</xdr:rowOff>
                  </from>
                  <to>
                    <xdr:col>6</xdr:col>
                    <xdr:colOff>0</xdr:colOff>
                    <xdr:row>368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5" r:id="rId370" name="Button 14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368</xdr:row>
                    <xdr:rowOff>0</xdr:rowOff>
                  </from>
                  <to>
                    <xdr:col>6</xdr:col>
                    <xdr:colOff>0</xdr:colOff>
                    <xdr:row>369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6" r:id="rId371" name="Button 14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369</xdr:row>
                    <xdr:rowOff>0</xdr:rowOff>
                  </from>
                  <to>
                    <xdr:col>6</xdr:col>
                    <xdr:colOff>0</xdr:colOff>
                    <xdr:row>370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7" r:id="rId372" name="Button 14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370</xdr:row>
                    <xdr:rowOff>0</xdr:rowOff>
                  </from>
                  <to>
                    <xdr:col>6</xdr:col>
                    <xdr:colOff>0</xdr:colOff>
                    <xdr:row>371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8" r:id="rId373" name="Button 14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9" r:id="rId374" name="Button 14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372</xdr:row>
                    <xdr:rowOff>0</xdr:rowOff>
                  </from>
                  <to>
                    <xdr:col>6</xdr:col>
                    <xdr:colOff>0</xdr:colOff>
                    <xdr:row>373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0" r:id="rId375" name="Button 14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373</xdr:row>
                    <xdr:rowOff>0</xdr:rowOff>
                  </from>
                  <to>
                    <xdr:col>6</xdr:col>
                    <xdr:colOff>0</xdr:colOff>
                    <xdr:row>374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1" r:id="rId376" name="Button 14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374</xdr:row>
                    <xdr:rowOff>0</xdr:rowOff>
                  </from>
                  <to>
                    <xdr:col>6</xdr:col>
                    <xdr:colOff>0</xdr:colOff>
                    <xdr:row>375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2" r:id="rId377" name="Button 14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375</xdr:row>
                    <xdr:rowOff>0</xdr:rowOff>
                  </from>
                  <to>
                    <xdr:col>6</xdr:col>
                    <xdr:colOff>0</xdr:colOff>
                    <xdr:row>376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3" r:id="rId378" name="Button 14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4" r:id="rId379" name="Button 14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377</xdr:row>
                    <xdr:rowOff>0</xdr:rowOff>
                  </from>
                  <to>
                    <xdr:col>6</xdr:col>
                    <xdr:colOff>0</xdr:colOff>
                    <xdr:row>378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5" r:id="rId380" name="Button 14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378</xdr:row>
                    <xdr:rowOff>0</xdr:rowOff>
                  </from>
                  <to>
                    <xdr:col>6</xdr:col>
                    <xdr:colOff>0</xdr:colOff>
                    <xdr:row>379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6" r:id="rId381" name="Button 14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379</xdr:row>
                    <xdr:rowOff>0</xdr:rowOff>
                  </from>
                  <to>
                    <xdr:col>6</xdr:col>
                    <xdr:colOff>0</xdr:colOff>
                    <xdr:row>380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7" r:id="rId382" name="Button 14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380</xdr:row>
                    <xdr:rowOff>0</xdr:rowOff>
                  </from>
                  <to>
                    <xdr:col>6</xdr:col>
                    <xdr:colOff>0</xdr:colOff>
                    <xdr:row>381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8" r:id="rId383" name="Button 14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9" r:id="rId384" name="Button 14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382</xdr:row>
                    <xdr:rowOff>0</xdr:rowOff>
                  </from>
                  <to>
                    <xdr:col>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0" r:id="rId385" name="Button 14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383</xdr:row>
                    <xdr:rowOff>0</xdr:rowOff>
                  </from>
                  <to>
                    <xdr:col>6</xdr:col>
                    <xdr:colOff>0</xdr:colOff>
                    <xdr:row>384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1" r:id="rId386" name="Button 14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384</xdr:row>
                    <xdr:rowOff>0</xdr:rowOff>
                  </from>
                  <to>
                    <xdr:col>6</xdr:col>
                    <xdr:colOff>0</xdr:colOff>
                    <xdr:row>385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2" r:id="rId387" name="Button 14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385</xdr:row>
                    <xdr:rowOff>0</xdr:rowOff>
                  </from>
                  <to>
                    <xdr:col>6</xdr:col>
                    <xdr:colOff>0</xdr:colOff>
                    <xdr:row>386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3" r:id="rId388" name="Button 14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386</xdr:row>
                    <xdr:rowOff>0</xdr:rowOff>
                  </from>
                  <to>
                    <xdr:col>6</xdr:col>
                    <xdr:colOff>0</xdr:colOff>
                    <xdr:row>387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4" r:id="rId389" name="Button 14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387</xdr:row>
                    <xdr:rowOff>0</xdr:rowOff>
                  </from>
                  <to>
                    <xdr:col>6</xdr:col>
                    <xdr:colOff>0</xdr:colOff>
                    <xdr:row>388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5" r:id="rId390" name="Button 14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388</xdr:row>
                    <xdr:rowOff>0</xdr:rowOff>
                  </from>
                  <to>
                    <xdr:col>6</xdr:col>
                    <xdr:colOff>0</xdr:colOff>
                    <xdr:row>389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6" r:id="rId391" name="Button 14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389</xdr:row>
                    <xdr:rowOff>0</xdr:rowOff>
                  </from>
                  <to>
                    <xdr:col>6</xdr:col>
                    <xdr:colOff>0</xdr:colOff>
                    <xdr:row>390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7" r:id="rId392" name="Button 14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390</xdr:row>
                    <xdr:rowOff>0</xdr:rowOff>
                  </from>
                  <to>
                    <xdr:col>6</xdr:col>
                    <xdr:colOff>0</xdr:colOff>
                    <xdr:row>391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8" r:id="rId393" name="Button 14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391</xdr:row>
                    <xdr:rowOff>0</xdr:rowOff>
                  </from>
                  <to>
                    <xdr:col>6</xdr:col>
                    <xdr:colOff>0</xdr:colOff>
                    <xdr:row>392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9" r:id="rId394" name="Button 14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392</xdr:row>
                    <xdr:rowOff>0</xdr:rowOff>
                  </from>
                  <to>
                    <xdr:col>6</xdr:col>
                    <xdr:colOff>0</xdr:colOff>
                    <xdr:row>393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0" r:id="rId395" name="Button 14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393</xdr:row>
                    <xdr:rowOff>0</xdr:rowOff>
                  </from>
                  <to>
                    <xdr:col>6</xdr:col>
                    <xdr:colOff>0</xdr:colOff>
                    <xdr:row>394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1" r:id="rId396" name="Button 14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394</xdr:row>
                    <xdr:rowOff>0</xdr:rowOff>
                  </from>
                  <to>
                    <xdr:col>6</xdr:col>
                    <xdr:colOff>0</xdr:colOff>
                    <xdr:row>395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2" r:id="rId397" name="Button 14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395</xdr:row>
                    <xdr:rowOff>0</xdr:rowOff>
                  </from>
                  <to>
                    <xdr:col>6</xdr:col>
                    <xdr:colOff>0</xdr:colOff>
                    <xdr:row>396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3" r:id="rId398" name="Button 14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396</xdr:row>
                    <xdr:rowOff>0</xdr:rowOff>
                  </from>
                  <to>
                    <xdr:col>6</xdr:col>
                    <xdr:colOff>0</xdr:colOff>
                    <xdr:row>397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4" r:id="rId399" name="Button 14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397</xdr:row>
                    <xdr:rowOff>0</xdr:rowOff>
                  </from>
                  <to>
                    <xdr:col>6</xdr:col>
                    <xdr:colOff>0</xdr:colOff>
                    <xdr:row>398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5" r:id="rId400" name="Button 14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398</xdr:row>
                    <xdr:rowOff>0</xdr:rowOff>
                  </from>
                  <to>
                    <xdr:col>6</xdr:col>
                    <xdr:colOff>0</xdr:colOff>
                    <xdr:row>399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6" r:id="rId401" name="Button 14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399</xdr:row>
                    <xdr:rowOff>0</xdr:rowOff>
                  </from>
                  <to>
                    <xdr:col>6</xdr:col>
                    <xdr:colOff>0</xdr:colOff>
                    <xdr:row>400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7" r:id="rId402" name="Button 14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400</xdr:row>
                    <xdr:rowOff>0</xdr:rowOff>
                  </from>
                  <to>
                    <xdr:col>6</xdr:col>
                    <xdr:colOff>0</xdr:colOff>
                    <xdr:row>401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8" r:id="rId403" name="Button 14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401</xdr:row>
                    <xdr:rowOff>0</xdr:rowOff>
                  </from>
                  <to>
                    <xdr:col>6</xdr:col>
                    <xdr:colOff>0</xdr:colOff>
                    <xdr:row>402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9" r:id="rId404" name="Button 14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402</xdr:row>
                    <xdr:rowOff>0</xdr:rowOff>
                  </from>
                  <to>
                    <xdr:col>6</xdr:col>
                    <xdr:colOff>0</xdr:colOff>
                    <xdr:row>403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0" r:id="rId405" name="Button 14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403</xdr:row>
                    <xdr:rowOff>0</xdr:rowOff>
                  </from>
                  <to>
                    <xdr:col>6</xdr:col>
                    <xdr:colOff>0</xdr:colOff>
                    <xdr:row>404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1" r:id="rId406" name="Button 14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2" r:id="rId407" name="Button 14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405</xdr:row>
                    <xdr:rowOff>0</xdr:rowOff>
                  </from>
                  <to>
                    <xdr:col>6</xdr:col>
                    <xdr:colOff>0</xdr:colOff>
                    <xdr:row>406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3" r:id="rId408" name="Button 14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406</xdr:row>
                    <xdr:rowOff>0</xdr:rowOff>
                  </from>
                  <to>
                    <xdr:col>6</xdr:col>
                    <xdr:colOff>0</xdr:colOff>
                    <xdr:row>407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4" r:id="rId409" name="Button 14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407</xdr:row>
                    <xdr:rowOff>0</xdr:rowOff>
                  </from>
                  <to>
                    <xdr:col>6</xdr:col>
                    <xdr:colOff>0</xdr:colOff>
                    <xdr:row>408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5" r:id="rId410" name="Button 14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408</xdr:row>
                    <xdr:rowOff>0</xdr:rowOff>
                  </from>
                  <to>
                    <xdr:col>6</xdr:col>
                    <xdr:colOff>0</xdr:colOff>
                    <xdr:row>409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6" r:id="rId411" name="Button 14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7" r:id="rId412" name="Button 14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410</xdr:row>
                    <xdr:rowOff>0</xdr:rowOff>
                  </from>
                  <to>
                    <xdr:col>6</xdr:col>
                    <xdr:colOff>0</xdr:colOff>
                    <xdr:row>411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8" r:id="rId413" name="Button 14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411</xdr:row>
                    <xdr:rowOff>0</xdr:rowOff>
                  </from>
                  <to>
                    <xdr:col>6</xdr:col>
                    <xdr:colOff>0</xdr:colOff>
                    <xdr:row>412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9" r:id="rId414" name="Button 14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412</xdr:row>
                    <xdr:rowOff>0</xdr:rowOff>
                  </from>
                  <to>
                    <xdr:col>6</xdr:col>
                    <xdr:colOff>0</xdr:colOff>
                    <xdr:row>413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0" r:id="rId415" name="Button 14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413</xdr:row>
                    <xdr:rowOff>0</xdr:rowOff>
                  </from>
                  <to>
                    <xdr:col>6</xdr:col>
                    <xdr:colOff>0</xdr:colOff>
                    <xdr:row>414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1" r:id="rId416" name="Button 14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2" r:id="rId417" name="Button 14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415</xdr:row>
                    <xdr:rowOff>0</xdr:rowOff>
                  </from>
                  <to>
                    <xdr:col>6</xdr:col>
                    <xdr:colOff>0</xdr:colOff>
                    <xdr:row>416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3" r:id="rId418" name="Button 14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416</xdr:row>
                    <xdr:rowOff>0</xdr:rowOff>
                  </from>
                  <to>
                    <xdr:col>6</xdr:col>
                    <xdr:colOff>0</xdr:colOff>
                    <xdr:row>417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4" r:id="rId419" name="Button 14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417</xdr:row>
                    <xdr:rowOff>0</xdr:rowOff>
                  </from>
                  <to>
                    <xdr:col>6</xdr:col>
                    <xdr:colOff>0</xdr:colOff>
                    <xdr:row>418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5" r:id="rId420" name="Button 14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418</xdr:row>
                    <xdr:rowOff>0</xdr:rowOff>
                  </from>
                  <to>
                    <xdr:col>6</xdr:col>
                    <xdr:colOff>0</xdr:colOff>
                    <xdr:row>419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6" r:id="rId421" name="Button 14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7" r:id="rId422" name="Button 14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420</xdr:row>
                    <xdr:rowOff>0</xdr:rowOff>
                  </from>
                  <to>
                    <xdr:col>6</xdr:col>
                    <xdr:colOff>0</xdr:colOff>
                    <xdr:row>421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8" r:id="rId423" name="Button 14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421</xdr:row>
                    <xdr:rowOff>0</xdr:rowOff>
                  </from>
                  <to>
                    <xdr:col>6</xdr:col>
                    <xdr:colOff>0</xdr:colOff>
                    <xdr:row>422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9" r:id="rId424" name="Button 14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422</xdr:row>
                    <xdr:rowOff>0</xdr:rowOff>
                  </from>
                  <to>
                    <xdr:col>6</xdr:col>
                    <xdr:colOff>0</xdr:colOff>
                    <xdr:row>423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0" r:id="rId425" name="Button 14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423</xdr:row>
                    <xdr:rowOff>0</xdr:rowOff>
                  </from>
                  <to>
                    <xdr:col>6</xdr:col>
                    <xdr:colOff>0</xdr:colOff>
                    <xdr:row>424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1" r:id="rId426" name="Button 14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2" r:id="rId427" name="Button 14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425</xdr:row>
                    <xdr:rowOff>0</xdr:rowOff>
                  </from>
                  <to>
                    <xdr:col>6</xdr:col>
                    <xdr:colOff>0</xdr:colOff>
                    <xdr:row>426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3" r:id="rId428" name="Button 14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426</xdr:row>
                    <xdr:rowOff>0</xdr:rowOff>
                  </from>
                  <to>
                    <xdr:col>6</xdr:col>
                    <xdr:colOff>0</xdr:colOff>
                    <xdr:row>427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4" r:id="rId429" name="Button 14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427</xdr:row>
                    <xdr:rowOff>0</xdr:rowOff>
                  </from>
                  <to>
                    <xdr:col>6</xdr:col>
                    <xdr:colOff>0</xdr:colOff>
                    <xdr:row>428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5" r:id="rId430" name="Button 14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428</xdr:row>
                    <xdr:rowOff>0</xdr:rowOff>
                  </from>
                  <to>
                    <xdr:col>6</xdr:col>
                    <xdr:colOff>0</xdr:colOff>
                    <xdr:row>429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6" r:id="rId431" name="Button 15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429</xdr:row>
                    <xdr:rowOff>0</xdr:rowOff>
                  </from>
                  <to>
                    <xdr:col>6</xdr:col>
                    <xdr:colOff>0</xdr:colOff>
                    <xdr:row>430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7" r:id="rId432" name="Button 15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430</xdr:row>
                    <xdr:rowOff>0</xdr:rowOff>
                  </from>
                  <to>
                    <xdr:col>6</xdr:col>
                    <xdr:colOff>0</xdr:colOff>
                    <xdr:row>431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8" r:id="rId433" name="Button 15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431</xdr:row>
                    <xdr:rowOff>0</xdr:rowOff>
                  </from>
                  <to>
                    <xdr:col>6</xdr:col>
                    <xdr:colOff>0</xdr:colOff>
                    <xdr:row>432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9" r:id="rId434" name="Button 15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432</xdr:row>
                    <xdr:rowOff>0</xdr:rowOff>
                  </from>
                  <to>
                    <xdr:col>6</xdr:col>
                    <xdr:colOff>0</xdr:colOff>
                    <xdr:row>433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0" r:id="rId435" name="Button 15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433</xdr:row>
                    <xdr:rowOff>0</xdr:rowOff>
                  </from>
                  <to>
                    <xdr:col>6</xdr:col>
                    <xdr:colOff>0</xdr:colOff>
                    <xdr:row>434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1" r:id="rId436" name="Button 15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434</xdr:row>
                    <xdr:rowOff>0</xdr:rowOff>
                  </from>
                  <to>
                    <xdr:col>6</xdr:col>
                    <xdr:colOff>0</xdr:colOff>
                    <xdr:row>435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2" r:id="rId437" name="Button 15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435</xdr:row>
                    <xdr:rowOff>0</xdr:rowOff>
                  </from>
                  <to>
                    <xdr:col>6</xdr:col>
                    <xdr:colOff>0</xdr:colOff>
                    <xdr:row>436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3" r:id="rId438" name="Button 15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436</xdr:row>
                    <xdr:rowOff>0</xdr:rowOff>
                  </from>
                  <to>
                    <xdr:col>6</xdr:col>
                    <xdr:colOff>0</xdr:colOff>
                    <xdr:row>437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4" r:id="rId439" name="Button 15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437</xdr:row>
                    <xdr:rowOff>0</xdr:rowOff>
                  </from>
                  <to>
                    <xdr:col>6</xdr:col>
                    <xdr:colOff>0</xdr:colOff>
                    <xdr:row>438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5" r:id="rId440" name="Button 15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438</xdr:row>
                    <xdr:rowOff>0</xdr:rowOff>
                  </from>
                  <to>
                    <xdr:col>6</xdr:col>
                    <xdr:colOff>0</xdr:colOff>
                    <xdr:row>439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6" r:id="rId441" name="Button 15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439</xdr:row>
                    <xdr:rowOff>0</xdr:rowOff>
                  </from>
                  <to>
                    <xdr:col>6</xdr:col>
                    <xdr:colOff>0</xdr:colOff>
                    <xdr:row>440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7" r:id="rId442" name="Button 15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440</xdr:row>
                    <xdr:rowOff>0</xdr:rowOff>
                  </from>
                  <to>
                    <xdr:col>6</xdr:col>
                    <xdr:colOff>0</xdr:colOff>
                    <xdr:row>441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8" r:id="rId443" name="Button 15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441</xdr:row>
                    <xdr:rowOff>0</xdr:rowOff>
                  </from>
                  <to>
                    <xdr:col>6</xdr:col>
                    <xdr:colOff>0</xdr:colOff>
                    <xdr:row>442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9" r:id="rId444" name="Button 15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442</xdr:row>
                    <xdr:rowOff>0</xdr:rowOff>
                  </from>
                  <to>
                    <xdr:col>6</xdr:col>
                    <xdr:colOff>0</xdr:colOff>
                    <xdr:row>443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0" r:id="rId445" name="Button 15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443</xdr:row>
                    <xdr:rowOff>0</xdr:rowOff>
                  </from>
                  <to>
                    <xdr:col>6</xdr:col>
                    <xdr:colOff>0</xdr:colOff>
                    <xdr:row>444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1" r:id="rId446" name="Button 15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444</xdr:row>
                    <xdr:rowOff>0</xdr:rowOff>
                  </from>
                  <to>
                    <xdr:col>6</xdr:col>
                    <xdr:colOff>0</xdr:colOff>
                    <xdr:row>445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2" r:id="rId447" name="Button 15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445</xdr:row>
                    <xdr:rowOff>0</xdr:rowOff>
                  </from>
                  <to>
                    <xdr:col>6</xdr:col>
                    <xdr:colOff>0</xdr:colOff>
                    <xdr:row>446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3" r:id="rId448" name="Button 15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446</xdr:row>
                    <xdr:rowOff>0</xdr:rowOff>
                  </from>
                  <to>
                    <xdr:col>6</xdr:col>
                    <xdr:colOff>0</xdr:colOff>
                    <xdr:row>447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4" r:id="rId449" name="Button 15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447</xdr:row>
                    <xdr:rowOff>0</xdr:rowOff>
                  </from>
                  <to>
                    <xdr:col>6</xdr:col>
                    <xdr:colOff>0</xdr:colOff>
                    <xdr:row>448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5" r:id="rId450" name="Button 15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448</xdr:row>
                    <xdr:rowOff>0</xdr:rowOff>
                  </from>
                  <to>
                    <xdr:col>6</xdr:col>
                    <xdr:colOff>0</xdr:colOff>
                    <xdr:row>449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6" r:id="rId451" name="Button 15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449</xdr:row>
                    <xdr:rowOff>0</xdr:rowOff>
                  </from>
                  <to>
                    <xdr:col>6</xdr:col>
                    <xdr:colOff>0</xdr:colOff>
                    <xdr:row>450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7" r:id="rId452" name="Button 15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450</xdr:row>
                    <xdr:rowOff>0</xdr:rowOff>
                  </from>
                  <to>
                    <xdr:col>6</xdr:col>
                    <xdr:colOff>0</xdr:colOff>
                    <xdr:row>451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8" r:id="rId453" name="Button 15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451</xdr:row>
                    <xdr:rowOff>0</xdr:rowOff>
                  </from>
                  <to>
                    <xdr:col>6</xdr:col>
                    <xdr:colOff>0</xdr:colOff>
                    <xdr:row>452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9" r:id="rId454" name="Button 15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452</xdr:row>
                    <xdr:rowOff>0</xdr:rowOff>
                  </from>
                  <to>
                    <xdr:col>6</xdr:col>
                    <xdr:colOff>0</xdr:colOff>
                    <xdr:row>453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0" r:id="rId455" name="Button 15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453</xdr:row>
                    <xdr:rowOff>0</xdr:rowOff>
                  </from>
                  <to>
                    <xdr:col>6</xdr:col>
                    <xdr:colOff>0</xdr:colOff>
                    <xdr:row>454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1" r:id="rId456" name="Button 15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454</xdr:row>
                    <xdr:rowOff>0</xdr:rowOff>
                  </from>
                  <to>
                    <xdr:col>6</xdr:col>
                    <xdr:colOff>0</xdr:colOff>
                    <xdr:row>455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2" r:id="rId457" name="Button 15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455</xdr:row>
                    <xdr:rowOff>0</xdr:rowOff>
                  </from>
                  <to>
                    <xdr:col>6</xdr:col>
                    <xdr:colOff>0</xdr:colOff>
                    <xdr:row>456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3" r:id="rId458" name="Button 15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456</xdr:row>
                    <xdr:rowOff>0</xdr:rowOff>
                  </from>
                  <to>
                    <xdr:col>6</xdr:col>
                    <xdr:colOff>0</xdr:colOff>
                    <xdr:row>457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4" r:id="rId459" name="Button 15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457</xdr:row>
                    <xdr:rowOff>0</xdr:rowOff>
                  </from>
                  <to>
                    <xdr:col>6</xdr:col>
                    <xdr:colOff>0</xdr:colOff>
                    <xdr:row>458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5" r:id="rId460" name="Button 15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458</xdr:row>
                    <xdr:rowOff>0</xdr:rowOff>
                  </from>
                  <to>
                    <xdr:col>6</xdr:col>
                    <xdr:colOff>0</xdr:colOff>
                    <xdr:row>459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6" r:id="rId461" name="Button 15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459</xdr:row>
                    <xdr:rowOff>0</xdr:rowOff>
                  </from>
                  <to>
                    <xdr:col>6</xdr:col>
                    <xdr:colOff>0</xdr:colOff>
                    <xdr:row>460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7" r:id="rId462" name="Button 15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460</xdr:row>
                    <xdr:rowOff>0</xdr:rowOff>
                  </from>
                  <to>
                    <xdr:col>6</xdr:col>
                    <xdr:colOff>0</xdr:colOff>
                    <xdr:row>461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8" r:id="rId463" name="Button 15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461</xdr:row>
                    <xdr:rowOff>0</xdr:rowOff>
                  </from>
                  <to>
                    <xdr:col>6</xdr:col>
                    <xdr:colOff>0</xdr:colOff>
                    <xdr:row>462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9" r:id="rId464" name="Button 15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462</xdr:row>
                    <xdr:rowOff>0</xdr:rowOff>
                  </from>
                  <to>
                    <xdr:col>6</xdr:col>
                    <xdr:colOff>0</xdr:colOff>
                    <xdr:row>463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0" r:id="rId465" name="Button 15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463</xdr:row>
                    <xdr:rowOff>0</xdr:rowOff>
                  </from>
                  <to>
                    <xdr:col>6</xdr:col>
                    <xdr:colOff>0</xdr:colOff>
                    <xdr:row>464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1" r:id="rId466" name="Button 15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464</xdr:row>
                    <xdr:rowOff>0</xdr:rowOff>
                  </from>
                  <to>
                    <xdr:col>6</xdr:col>
                    <xdr:colOff>0</xdr:colOff>
                    <xdr:row>465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2" r:id="rId467" name="Button 15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465</xdr:row>
                    <xdr:rowOff>0</xdr:rowOff>
                  </from>
                  <to>
                    <xdr:col>6</xdr:col>
                    <xdr:colOff>0</xdr:colOff>
                    <xdr:row>466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3" r:id="rId468" name="Button 15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466</xdr:row>
                    <xdr:rowOff>0</xdr:rowOff>
                  </from>
                  <to>
                    <xdr:col>6</xdr:col>
                    <xdr:colOff>0</xdr:colOff>
                    <xdr:row>467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4" r:id="rId469" name="Button 15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467</xdr:row>
                    <xdr:rowOff>0</xdr:rowOff>
                  </from>
                  <to>
                    <xdr:col>6</xdr:col>
                    <xdr:colOff>0</xdr:colOff>
                    <xdr:row>468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5" r:id="rId470" name="Button 15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468</xdr:row>
                    <xdr:rowOff>0</xdr:rowOff>
                  </from>
                  <to>
                    <xdr:col>6</xdr:col>
                    <xdr:colOff>0</xdr:colOff>
                    <xdr:row>469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6" r:id="rId471" name="Button 15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469</xdr:row>
                    <xdr:rowOff>0</xdr:rowOff>
                  </from>
                  <to>
                    <xdr:col>6</xdr:col>
                    <xdr:colOff>0</xdr:colOff>
                    <xdr:row>470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7" r:id="rId472" name="Button 15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470</xdr:row>
                    <xdr:rowOff>0</xdr:rowOff>
                  </from>
                  <to>
                    <xdr:col>6</xdr:col>
                    <xdr:colOff>0</xdr:colOff>
                    <xdr:row>471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8" r:id="rId473" name="Button 15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471</xdr:row>
                    <xdr:rowOff>0</xdr:rowOff>
                  </from>
                  <to>
                    <xdr:col>6</xdr:col>
                    <xdr:colOff>0</xdr:colOff>
                    <xdr:row>472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9" r:id="rId474" name="Button 15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472</xdr:row>
                    <xdr:rowOff>0</xdr:rowOff>
                  </from>
                  <to>
                    <xdr:col>6</xdr:col>
                    <xdr:colOff>0</xdr:colOff>
                    <xdr:row>473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0" r:id="rId475" name="Button 15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473</xdr:row>
                    <xdr:rowOff>0</xdr:rowOff>
                  </from>
                  <to>
                    <xdr:col>6</xdr:col>
                    <xdr:colOff>0</xdr:colOff>
                    <xdr:row>474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1" r:id="rId476" name="Button 15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474</xdr:row>
                    <xdr:rowOff>0</xdr:rowOff>
                  </from>
                  <to>
                    <xdr:col>6</xdr:col>
                    <xdr:colOff>0</xdr:colOff>
                    <xdr:row>475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2" r:id="rId477" name="Button 15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475</xdr:row>
                    <xdr:rowOff>0</xdr:rowOff>
                  </from>
                  <to>
                    <xdr:col>6</xdr:col>
                    <xdr:colOff>0</xdr:colOff>
                    <xdr:row>476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3" r:id="rId478" name="Button 15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476</xdr:row>
                    <xdr:rowOff>0</xdr:rowOff>
                  </from>
                  <to>
                    <xdr:col>6</xdr:col>
                    <xdr:colOff>0</xdr:colOff>
                    <xdr:row>477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4" r:id="rId479" name="Button 15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477</xdr:row>
                    <xdr:rowOff>0</xdr:rowOff>
                  </from>
                  <to>
                    <xdr:col>6</xdr:col>
                    <xdr:colOff>0</xdr:colOff>
                    <xdr:row>478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5" r:id="rId480" name="Button 15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478</xdr:row>
                    <xdr:rowOff>0</xdr:rowOff>
                  </from>
                  <to>
                    <xdr:col>6</xdr:col>
                    <xdr:colOff>0</xdr:colOff>
                    <xdr:row>479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6" r:id="rId481" name="Button 15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479</xdr:row>
                    <xdr:rowOff>0</xdr:rowOff>
                  </from>
                  <to>
                    <xdr:col>6</xdr:col>
                    <xdr:colOff>0</xdr:colOff>
                    <xdr:row>480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7" r:id="rId482" name="Button 15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480</xdr:row>
                    <xdr:rowOff>0</xdr:rowOff>
                  </from>
                  <to>
                    <xdr:col>6</xdr:col>
                    <xdr:colOff>0</xdr:colOff>
                    <xdr:row>481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8" r:id="rId483" name="Button 15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481</xdr:row>
                    <xdr:rowOff>0</xdr:rowOff>
                  </from>
                  <to>
                    <xdr:col>6</xdr:col>
                    <xdr:colOff>0</xdr:colOff>
                    <xdr:row>482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9" r:id="rId484" name="Button 15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482</xdr:row>
                    <xdr:rowOff>0</xdr:rowOff>
                  </from>
                  <to>
                    <xdr:col>6</xdr:col>
                    <xdr:colOff>0</xdr:colOff>
                    <xdr:row>483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0" r:id="rId485" name="Button 15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483</xdr:row>
                    <xdr:rowOff>0</xdr:rowOff>
                  </from>
                  <to>
                    <xdr:col>6</xdr:col>
                    <xdr:colOff>0</xdr:colOff>
                    <xdr:row>484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1" r:id="rId486" name="Button 15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484</xdr:row>
                    <xdr:rowOff>0</xdr:rowOff>
                  </from>
                  <to>
                    <xdr:col>6</xdr:col>
                    <xdr:colOff>0</xdr:colOff>
                    <xdr:row>485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2" r:id="rId487" name="Button 15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485</xdr:row>
                    <xdr:rowOff>0</xdr:rowOff>
                  </from>
                  <to>
                    <xdr:col>6</xdr:col>
                    <xdr:colOff>0</xdr:colOff>
                    <xdr:row>486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3" r:id="rId488" name="Button 15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486</xdr:row>
                    <xdr:rowOff>0</xdr:rowOff>
                  </from>
                  <to>
                    <xdr:col>6</xdr:col>
                    <xdr:colOff>0</xdr:colOff>
                    <xdr:row>487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4" r:id="rId489" name="Button 15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487</xdr:row>
                    <xdr:rowOff>0</xdr:rowOff>
                  </from>
                  <to>
                    <xdr:col>6</xdr:col>
                    <xdr:colOff>0</xdr:colOff>
                    <xdr:row>488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5" r:id="rId490" name="Button 15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488</xdr:row>
                    <xdr:rowOff>0</xdr:rowOff>
                  </from>
                  <to>
                    <xdr:col>6</xdr:col>
                    <xdr:colOff>0</xdr:colOff>
                    <xdr:row>489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7" r:id="rId491" name="Button 15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489</xdr:row>
                    <xdr:rowOff>0</xdr:rowOff>
                  </from>
                  <to>
                    <xdr:col>6</xdr:col>
                    <xdr:colOff>0</xdr:colOff>
                    <xdr:row>490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EO396"/>
  <sheetViews>
    <sheetView tabSelected="1" zoomScale="160" zoomScaleNormal="160" zoomScalePageLayoutView="160" workbookViewId="0">
      <selection activeCell="I7" sqref="I7"/>
    </sheetView>
  </sheetViews>
  <sheetFormatPr baseColWidth="10" defaultRowHeight="15" x14ac:dyDescent="0"/>
  <cols>
    <col min="1" max="1" width="4.28515625" style="6" customWidth="1"/>
    <col min="2" max="2" width="4.42578125" style="6" customWidth="1"/>
    <col min="3" max="3" width="18" style="6" bestFit="1" customWidth="1"/>
    <col min="4" max="4" width="19.5703125" style="6" bestFit="1" customWidth="1"/>
    <col min="5" max="5" width="7.28515625" style="6" customWidth="1"/>
    <col min="6" max="6" width="12.85546875" style="6" bestFit="1" customWidth="1"/>
    <col min="7" max="7" width="3.28515625" style="6" customWidth="1"/>
    <col min="8" max="8" width="4.42578125" style="6" customWidth="1"/>
    <col min="9" max="9" width="14.42578125" style="6" customWidth="1"/>
    <col min="10" max="10" width="16.28515625" style="6" customWidth="1"/>
    <col min="11" max="11" width="7.28515625" style="6" customWidth="1"/>
    <col min="12" max="12" width="7.42578125" style="6" customWidth="1"/>
    <col min="13" max="13" width="4" style="6" customWidth="1"/>
    <col min="14" max="14" width="4.42578125" style="6" customWidth="1"/>
    <col min="15" max="15" width="14.42578125" style="6" customWidth="1"/>
    <col min="16" max="16" width="11" style="6" customWidth="1"/>
    <col min="17" max="17" width="7.28515625" style="6" customWidth="1"/>
    <col min="18" max="18" width="8.42578125" style="6" customWidth="1"/>
    <col min="19" max="19" width="4" style="6" customWidth="1"/>
    <col min="20" max="20" width="4.42578125" style="6" customWidth="1"/>
    <col min="21" max="21" width="14.42578125" style="6" customWidth="1"/>
    <col min="22" max="22" width="6.28515625" style="6" customWidth="1"/>
    <col min="23" max="23" width="7.28515625" style="6" customWidth="1"/>
    <col min="24" max="24" width="5.42578125" style="6" customWidth="1"/>
    <col min="25" max="25" width="4" style="6" customWidth="1"/>
    <col min="26" max="26" width="4.42578125" style="6" customWidth="1"/>
    <col min="27" max="27" width="14.42578125" style="6" customWidth="1"/>
    <col min="28" max="28" width="6.28515625" style="6" customWidth="1"/>
    <col min="29" max="29" width="7.28515625" style="6" customWidth="1"/>
    <col min="30" max="30" width="5.42578125" style="6" customWidth="1"/>
    <col min="31" max="31" width="4" style="6" customWidth="1"/>
    <col min="32" max="32" width="4.42578125" style="6" customWidth="1"/>
    <col min="33" max="33" width="14.42578125" style="6" customWidth="1"/>
    <col min="34" max="34" width="6.28515625" style="6" customWidth="1"/>
    <col min="35" max="35" width="7.28515625" style="6" customWidth="1"/>
    <col min="36" max="36" width="5.42578125" style="6" customWidth="1"/>
    <col min="37" max="37" width="4" style="6" customWidth="1"/>
    <col min="38" max="38" width="4.42578125" style="6" customWidth="1"/>
    <col min="39" max="39" width="14.42578125" style="6" customWidth="1"/>
    <col min="40" max="40" width="6.28515625" style="6" customWidth="1"/>
    <col min="41" max="41" width="7.28515625" style="6" customWidth="1"/>
    <col min="42" max="42" width="5.42578125" style="6" customWidth="1"/>
    <col min="43" max="43" width="4" style="6" customWidth="1"/>
    <col min="44" max="44" width="4.42578125" style="6" customWidth="1"/>
    <col min="45" max="45" width="14.42578125" style="6" customWidth="1"/>
    <col min="46" max="46" width="6.28515625" style="6" customWidth="1"/>
    <col min="47" max="47" width="7.28515625" style="6" customWidth="1"/>
    <col min="48" max="48" width="5.42578125" style="6" customWidth="1"/>
    <col min="49" max="49" width="4" style="6" customWidth="1"/>
    <col min="50" max="50" width="4.42578125" style="6" customWidth="1"/>
    <col min="51" max="51" width="14.42578125" style="6" customWidth="1"/>
    <col min="52" max="52" width="6.28515625" style="6" customWidth="1"/>
    <col min="53" max="53" width="7.28515625" style="6" customWidth="1"/>
    <col min="54" max="54" width="4.85546875" style="6" customWidth="1"/>
    <col min="55" max="55" width="4" style="6" customWidth="1"/>
    <col min="56" max="56" width="4.42578125" style="6" customWidth="1"/>
    <col min="57" max="57" width="14.42578125" style="6" customWidth="1"/>
    <col min="58" max="58" width="6.28515625" style="6" customWidth="1"/>
    <col min="59" max="59" width="7.28515625" style="6" customWidth="1"/>
    <col min="60" max="60" width="5.42578125" style="6" customWidth="1"/>
    <col min="61" max="61" width="4" style="6" customWidth="1"/>
    <col min="62" max="62" width="4.42578125" style="6" customWidth="1"/>
    <col min="63" max="63" width="14.42578125" style="6" customWidth="1"/>
    <col min="64" max="64" width="6.28515625" style="6" customWidth="1"/>
    <col min="65" max="65" width="7.28515625" style="6" customWidth="1"/>
    <col min="66" max="66" width="5.42578125" style="6" customWidth="1"/>
    <col min="67" max="67" width="4" style="6" customWidth="1"/>
    <col min="68" max="68" width="4.42578125" style="6" customWidth="1"/>
    <col min="69" max="69" width="14.42578125" style="6" customWidth="1"/>
    <col min="70" max="70" width="6.28515625" style="6" customWidth="1"/>
    <col min="71" max="71" width="7.28515625" style="6" customWidth="1"/>
    <col min="72" max="72" width="5.42578125" style="6" customWidth="1"/>
    <col min="73" max="73" width="4" style="6" customWidth="1"/>
    <col min="74" max="74" width="4.42578125" style="6" customWidth="1"/>
    <col min="75" max="75" width="14.42578125" style="6" customWidth="1"/>
    <col min="76" max="76" width="6.28515625" style="6" customWidth="1"/>
    <col min="77" max="77" width="7.28515625" style="6" customWidth="1"/>
    <col min="78" max="78" width="5.42578125" style="6" customWidth="1"/>
    <col min="79" max="79" width="4" style="6" customWidth="1"/>
    <col min="80" max="80" width="4.42578125" style="6" customWidth="1"/>
    <col min="81" max="81" width="14.42578125" style="6" customWidth="1"/>
    <col min="82" max="82" width="6.28515625" style="6" customWidth="1"/>
    <col min="83" max="83" width="7.28515625" style="6" customWidth="1"/>
    <col min="84" max="84" width="5.42578125" style="6" customWidth="1"/>
    <col min="85" max="85" width="4.28515625" style="6" customWidth="1"/>
    <col min="86" max="86" width="4.42578125" style="6" customWidth="1"/>
    <col min="87" max="87" width="14.42578125" style="6" customWidth="1"/>
    <col min="88" max="88" width="6.28515625" style="6" customWidth="1"/>
    <col min="89" max="89" width="7.28515625" style="6" customWidth="1"/>
    <col min="90" max="90" width="5.42578125" style="6" customWidth="1"/>
    <col min="91" max="16384" width="10.7109375" style="6"/>
  </cols>
  <sheetData>
    <row r="1" spans="1:145" ht="38" customHeight="1">
      <c r="A1" s="30" t="s">
        <v>20</v>
      </c>
      <c r="B1" s="30"/>
      <c r="C1" s="30"/>
      <c r="D1" s="30"/>
      <c r="E1" s="30"/>
      <c r="F1" s="30"/>
      <c r="G1" s="7"/>
      <c r="H1" s="7"/>
      <c r="I1" s="7"/>
      <c r="J1" s="7"/>
      <c r="K1" s="7"/>
      <c r="L1" s="7"/>
      <c r="M1" s="7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</row>
    <row r="2" spans="1:145" s="8" customFormat="1">
      <c r="A2" s="19"/>
      <c r="B2" s="19" t="s">
        <v>18</v>
      </c>
      <c r="C2" s="19" t="s">
        <v>19</v>
      </c>
      <c r="D2" s="19" t="s">
        <v>1</v>
      </c>
      <c r="E2" s="19" t="s">
        <v>2</v>
      </c>
      <c r="F2" s="19" t="s">
        <v>3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</row>
    <row r="3" spans="1:145" s="8" customFormat="1">
      <c r="A3" s="9">
        <v>9999</v>
      </c>
      <c r="B3" s="10">
        <v>1</v>
      </c>
      <c r="C3" s="10" t="s">
        <v>145</v>
      </c>
      <c r="D3" s="10" t="str">
        <f>VLOOKUP(A3,Players!$A$2:$D$491,2,FALSE)</f>
        <v xml:space="preserve"> </v>
      </c>
      <c r="E3" s="10" t="str">
        <f>VLOOKUP(A3,Players!$A$2:$D$491,3,FALSE)</f>
        <v xml:space="preserve"> </v>
      </c>
      <c r="F3" s="10" t="str">
        <f>VLOOKUP(A3,Players!$A$2:$D$491,4,FALSE)</f>
        <v xml:space="preserve"> 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</row>
    <row r="4" spans="1:145" s="8" customFormat="1">
      <c r="A4" s="9">
        <v>9999</v>
      </c>
      <c r="B4" s="10">
        <v>2</v>
      </c>
      <c r="C4" s="10" t="s">
        <v>146</v>
      </c>
      <c r="D4" s="10" t="str">
        <f>VLOOKUP(A4,Players!$A$2:$D$491,2,FALSE)</f>
        <v xml:space="preserve"> </v>
      </c>
      <c r="E4" s="10" t="str">
        <f>VLOOKUP(A4,Players!$A$2:$D$491,3,FALSE)</f>
        <v xml:space="preserve"> </v>
      </c>
      <c r="F4" s="10" t="str">
        <f>VLOOKUP(A4,Players!$A$2:$D$491,4,FALSE)</f>
        <v xml:space="preserve"> 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CM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</row>
    <row r="5" spans="1:145" s="8" customFormat="1">
      <c r="A5" s="9">
        <v>9999</v>
      </c>
      <c r="B5" s="10">
        <v>3</v>
      </c>
      <c r="C5" s="10" t="s">
        <v>147</v>
      </c>
      <c r="D5" s="10" t="str">
        <f>VLOOKUP(A5,Players!$A$2:$D$491,2,FALSE)</f>
        <v xml:space="preserve"> </v>
      </c>
      <c r="E5" s="10" t="str">
        <f>VLOOKUP(A5,Players!$A$2:$D$491,3,FALSE)</f>
        <v xml:space="preserve"> </v>
      </c>
      <c r="F5" s="10" t="str">
        <f>VLOOKUP(A5,Players!$A$2:$D$491,4,FALSE)</f>
        <v xml:space="preserve"> 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CM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</row>
    <row r="6" spans="1:145" s="8" customFormat="1">
      <c r="A6" s="9">
        <v>9999</v>
      </c>
      <c r="B6" s="10">
        <v>4</v>
      </c>
      <c r="C6" s="10" t="s">
        <v>148</v>
      </c>
      <c r="D6" s="10" t="str">
        <f>VLOOKUP(A6,Players!$A$2:$D$491,2,FALSE)</f>
        <v xml:space="preserve"> </v>
      </c>
      <c r="E6" s="10" t="str">
        <f>VLOOKUP(A6,Players!$A$2:$D$491,3,FALSE)</f>
        <v xml:space="preserve"> </v>
      </c>
      <c r="F6" s="10" t="str">
        <f>VLOOKUP(A6,Players!$A$2:$D$491,4,FALSE)</f>
        <v xml:space="preserve"> 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CM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</row>
    <row r="7" spans="1:145" s="8" customFormat="1">
      <c r="A7" s="9">
        <v>9999</v>
      </c>
      <c r="B7" s="10">
        <v>5</v>
      </c>
      <c r="C7" s="10" t="s">
        <v>149</v>
      </c>
      <c r="D7" s="10" t="str">
        <f>VLOOKUP(A7,Players!$A$2:$D$491,2,FALSE)</f>
        <v xml:space="preserve"> </v>
      </c>
      <c r="E7" s="10" t="str">
        <f>VLOOKUP(A7,Players!$A$2:$D$491,3,FALSE)</f>
        <v xml:space="preserve"> </v>
      </c>
      <c r="F7" s="10" t="str">
        <f>VLOOKUP(A7,Players!$A$2:$D$491,4,FALSE)</f>
        <v xml:space="preserve"> 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CM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</row>
    <row r="8" spans="1:145" s="8" customFormat="1">
      <c r="A8" s="9">
        <v>9999</v>
      </c>
      <c r="B8" s="10">
        <v>6</v>
      </c>
      <c r="C8" s="10" t="s">
        <v>150</v>
      </c>
      <c r="D8" s="10" t="str">
        <f>VLOOKUP(A8,Players!$A$2:$D$491,2,FALSE)</f>
        <v xml:space="preserve"> </v>
      </c>
      <c r="E8" s="10" t="str">
        <f>VLOOKUP(A8,Players!$A$2:$D$491,3,FALSE)</f>
        <v xml:space="preserve"> </v>
      </c>
      <c r="F8" s="10" t="str">
        <f>VLOOKUP(A8,Players!$A$2:$D$491,4,FALSE)</f>
        <v xml:space="preserve"> 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CM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</row>
    <row r="9" spans="1:145" s="8" customFormat="1">
      <c r="A9" s="9">
        <v>9999</v>
      </c>
      <c r="B9" s="10">
        <v>7</v>
      </c>
      <c r="C9" s="10" t="s">
        <v>151</v>
      </c>
      <c r="D9" s="10" t="str">
        <f>VLOOKUP(A9,Players!$A$2:$D$491,2,FALSE)</f>
        <v xml:space="preserve"> </v>
      </c>
      <c r="E9" s="10" t="str">
        <f>VLOOKUP(A9,Players!$A$2:$D$491,3,FALSE)</f>
        <v xml:space="preserve"> </v>
      </c>
      <c r="F9" s="10" t="str">
        <f>VLOOKUP(A9,Players!$A$2:$D$491,4,FALSE)</f>
        <v xml:space="preserve"> 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CM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</row>
    <row r="10" spans="1:145" s="8" customFormat="1">
      <c r="A10" s="9">
        <v>9999</v>
      </c>
      <c r="B10" s="10">
        <v>8</v>
      </c>
      <c r="C10" s="10" t="s">
        <v>152</v>
      </c>
      <c r="D10" s="10" t="str">
        <f>VLOOKUP(A10,Players!$A$2:$D$491,2,FALSE)</f>
        <v xml:space="preserve"> </v>
      </c>
      <c r="E10" s="10" t="str">
        <f>VLOOKUP(A10,Players!$A$2:$D$491,3,FALSE)</f>
        <v xml:space="preserve"> </v>
      </c>
      <c r="F10" s="10" t="str">
        <f>VLOOKUP(A10,Players!$A$2:$D$491,4,FALSE)</f>
        <v xml:space="preserve"> </v>
      </c>
      <c r="G10" s="5"/>
      <c r="H10" s="5"/>
      <c r="I10" s="5"/>
      <c r="J10" s="5"/>
      <c r="K10" s="5"/>
      <c r="L10" s="5"/>
      <c r="M10" s="5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CM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</row>
    <row r="11" spans="1:145" s="8" customFormat="1">
      <c r="A11" s="9">
        <v>9999</v>
      </c>
      <c r="B11" s="10">
        <v>9</v>
      </c>
      <c r="C11" s="10" t="s">
        <v>153</v>
      </c>
      <c r="D11" s="10" t="str">
        <f>VLOOKUP(A11,Players!$A$2:$D$491,2,FALSE)</f>
        <v xml:space="preserve"> </v>
      </c>
      <c r="E11" s="10" t="str">
        <f>VLOOKUP(A11,Players!$A$2:$D$491,3,FALSE)</f>
        <v xml:space="preserve"> </v>
      </c>
      <c r="F11" s="10" t="str">
        <f>VLOOKUP(A11,Players!$A$2:$D$491,4,FALSE)</f>
        <v xml:space="preserve"> </v>
      </c>
      <c r="G11" s="5"/>
      <c r="H11" s="5"/>
      <c r="I11" s="5"/>
      <c r="J11" s="5"/>
      <c r="K11" s="5"/>
      <c r="L11" s="5"/>
      <c r="M11" s="5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CM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</row>
    <row r="12" spans="1:145" s="8" customFormat="1">
      <c r="A12" s="9">
        <v>9999</v>
      </c>
      <c r="B12" s="10">
        <v>10</v>
      </c>
      <c r="C12" s="10" t="s">
        <v>154</v>
      </c>
      <c r="D12" s="10" t="str">
        <f>VLOOKUP(A12,Players!$A$2:$D$491,2,FALSE)</f>
        <v xml:space="preserve"> </v>
      </c>
      <c r="E12" s="10" t="str">
        <f>VLOOKUP(A12,Players!$A$2:$D$491,3,FALSE)</f>
        <v xml:space="preserve"> </v>
      </c>
      <c r="F12" s="10" t="str">
        <f>VLOOKUP(A12,Players!$A$2:$D$491,4,FALSE)</f>
        <v xml:space="preserve"> </v>
      </c>
      <c r="G12" s="5"/>
      <c r="H12" s="5"/>
      <c r="I12" s="5"/>
      <c r="J12" s="5"/>
      <c r="K12" s="5"/>
      <c r="L12" s="5"/>
      <c r="M12" s="5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CM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</row>
    <row r="13" spans="1:145" ht="30">
      <c r="A13" s="30" t="s">
        <v>130</v>
      </c>
      <c r="B13" s="30"/>
      <c r="C13" s="30"/>
      <c r="D13" s="30"/>
      <c r="E13" s="30"/>
      <c r="F13" s="30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1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</row>
    <row r="14" spans="1:145">
      <c r="A14" s="19"/>
      <c r="B14" s="19" t="s">
        <v>18</v>
      </c>
      <c r="C14" s="19" t="s">
        <v>19</v>
      </c>
      <c r="D14" s="19" t="s">
        <v>1</v>
      </c>
      <c r="E14" s="19" t="s">
        <v>2</v>
      </c>
      <c r="F14" s="19" t="s">
        <v>3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</row>
    <row r="15" spans="1:145">
      <c r="A15" s="9">
        <v>9999</v>
      </c>
      <c r="B15" s="10">
        <v>11</v>
      </c>
      <c r="C15" s="10" t="str">
        <f>$C$12</f>
        <v>T10</v>
      </c>
      <c r="D15" s="10" t="str">
        <f>VLOOKUP(A15,Players!$A$2:$D$491,2,FALSE)</f>
        <v xml:space="preserve"> </v>
      </c>
      <c r="E15" s="10" t="str">
        <f>VLOOKUP(A15,Players!$A$2:$D$491,3,FALSE)</f>
        <v xml:space="preserve"> </v>
      </c>
      <c r="F15" s="10" t="str">
        <f>VLOOKUP(A15,Players!$A$2:$D$491,4,FALSE)</f>
        <v xml:space="preserve"> 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</row>
    <row r="16" spans="1:145">
      <c r="A16" s="9">
        <v>9999</v>
      </c>
      <c r="B16" s="10">
        <v>12</v>
      </c>
      <c r="C16" s="10" t="str">
        <f>$C$11</f>
        <v>T9</v>
      </c>
      <c r="D16" s="10" t="str">
        <f>VLOOKUP(A16,Players!$A$2:$D$491,2,FALSE)</f>
        <v xml:space="preserve"> </v>
      </c>
      <c r="E16" s="10" t="str">
        <f>VLOOKUP(A16,Players!$A$2:$D$491,3,FALSE)</f>
        <v xml:space="preserve"> </v>
      </c>
      <c r="F16" s="10" t="str">
        <f>VLOOKUP(A16,Players!$A$2:$D$491,4,FALSE)</f>
        <v xml:space="preserve"> 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</row>
    <row r="17" spans="1:145">
      <c r="A17" s="9">
        <v>9999</v>
      </c>
      <c r="B17" s="10">
        <v>13</v>
      </c>
      <c r="C17" s="10" t="str">
        <f>$C$10</f>
        <v>T8</v>
      </c>
      <c r="D17" s="10" t="str">
        <f>VLOOKUP(A17,Players!$A$2:$D$491,2,FALSE)</f>
        <v xml:space="preserve"> </v>
      </c>
      <c r="E17" s="10" t="str">
        <f>VLOOKUP(A17,Players!$A$2:$D$491,3,FALSE)</f>
        <v xml:space="preserve"> </v>
      </c>
      <c r="F17" s="10" t="str">
        <f>VLOOKUP(A17,Players!$A$2:$D$491,4,FALSE)</f>
        <v xml:space="preserve"> 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</row>
    <row r="18" spans="1:145">
      <c r="A18" s="9">
        <v>9999</v>
      </c>
      <c r="B18" s="10">
        <v>14</v>
      </c>
      <c r="C18" s="10" t="str">
        <f>$C$9</f>
        <v>T7</v>
      </c>
      <c r="D18" s="10" t="str">
        <f>VLOOKUP(A18,Players!$A$2:$D$491,2,FALSE)</f>
        <v xml:space="preserve"> </v>
      </c>
      <c r="E18" s="10" t="str">
        <f>VLOOKUP(A18,Players!$A$2:$D$491,3,FALSE)</f>
        <v xml:space="preserve"> </v>
      </c>
      <c r="F18" s="10" t="str">
        <f>VLOOKUP(A18,Players!$A$2:$D$491,4,FALSE)</f>
        <v xml:space="preserve"> 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</row>
    <row r="19" spans="1:145">
      <c r="A19" s="9">
        <v>9999</v>
      </c>
      <c r="B19" s="10">
        <v>15</v>
      </c>
      <c r="C19" s="10" t="str">
        <f>$C$8</f>
        <v>T6</v>
      </c>
      <c r="D19" s="10" t="str">
        <f>VLOOKUP(A19,Players!$A$2:$D$491,2,FALSE)</f>
        <v xml:space="preserve"> </v>
      </c>
      <c r="E19" s="10" t="str">
        <f>VLOOKUP(A19,Players!$A$2:$D$491,3,FALSE)</f>
        <v xml:space="preserve"> </v>
      </c>
      <c r="F19" s="10" t="str">
        <f>VLOOKUP(A19,Players!$A$2:$D$491,4,FALSE)</f>
        <v xml:space="preserve"> 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</row>
    <row r="20" spans="1:145">
      <c r="A20" s="9">
        <v>9999</v>
      </c>
      <c r="B20" s="10">
        <v>16</v>
      </c>
      <c r="C20" s="10" t="str">
        <f>$C$7</f>
        <v>T5</v>
      </c>
      <c r="D20" s="10" t="str">
        <f>VLOOKUP(A20,Players!$A$2:$D$491,2,FALSE)</f>
        <v xml:space="preserve"> </v>
      </c>
      <c r="E20" s="10" t="str">
        <f>VLOOKUP(A20,Players!$A$2:$D$491,3,FALSE)</f>
        <v xml:space="preserve"> </v>
      </c>
      <c r="F20" s="10" t="str">
        <f>VLOOKUP(A20,Players!$A$2:$D$491,4,FALSE)</f>
        <v xml:space="preserve"> 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</row>
    <row r="21" spans="1:145">
      <c r="A21" s="9">
        <v>9999</v>
      </c>
      <c r="B21" s="10">
        <v>17</v>
      </c>
      <c r="C21" s="10" t="str">
        <f>$C$6</f>
        <v>T4</v>
      </c>
      <c r="D21" s="10" t="str">
        <f>VLOOKUP(A21,Players!$A$2:$D$491,2,FALSE)</f>
        <v xml:space="preserve"> </v>
      </c>
      <c r="E21" s="10" t="str">
        <f>VLOOKUP(A21,Players!$A$2:$D$491,3,FALSE)</f>
        <v xml:space="preserve"> </v>
      </c>
      <c r="F21" s="10" t="str">
        <f>VLOOKUP(A21,Players!$A$2:$D$491,4,FALSE)</f>
        <v xml:space="preserve"> 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</row>
    <row r="22" spans="1:145">
      <c r="A22" s="9">
        <v>9999</v>
      </c>
      <c r="B22" s="10">
        <v>18</v>
      </c>
      <c r="C22" s="10" t="str">
        <f>$C$5</f>
        <v>T3</v>
      </c>
      <c r="D22" s="10" t="str">
        <f>VLOOKUP(A22,Players!$A$2:$D$491,2,FALSE)</f>
        <v xml:space="preserve"> </v>
      </c>
      <c r="E22" s="10" t="str">
        <f>VLOOKUP(A22,Players!$A$2:$D$491,3,FALSE)</f>
        <v xml:space="preserve"> </v>
      </c>
      <c r="F22" s="10" t="str">
        <f>VLOOKUP(A22,Players!$A$2:$D$491,4,FALSE)</f>
        <v xml:space="preserve"> 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</row>
    <row r="23" spans="1:145">
      <c r="A23" s="9">
        <v>9999</v>
      </c>
      <c r="B23" s="10">
        <v>19</v>
      </c>
      <c r="C23" s="10" t="str">
        <f>$C$4</f>
        <v>T2</v>
      </c>
      <c r="D23" s="10" t="str">
        <f>VLOOKUP(A23,Players!$A$2:$D$491,2,FALSE)</f>
        <v xml:space="preserve"> </v>
      </c>
      <c r="E23" s="10" t="str">
        <f>VLOOKUP(A23,Players!$A$2:$D$491,3,FALSE)</f>
        <v xml:space="preserve"> </v>
      </c>
      <c r="F23" s="10" t="str">
        <f>VLOOKUP(A23,Players!$A$2:$D$491,4,FALSE)</f>
        <v xml:space="preserve"> 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</row>
    <row r="24" spans="1:145">
      <c r="A24" s="9">
        <v>9999</v>
      </c>
      <c r="B24" s="10">
        <v>20</v>
      </c>
      <c r="C24" s="10" t="str">
        <f>$C$3</f>
        <v>T1</v>
      </c>
      <c r="D24" s="10" t="str">
        <f>VLOOKUP(A24,Players!$A$2:$D$491,2,FALSE)</f>
        <v xml:space="preserve"> </v>
      </c>
      <c r="E24" s="10" t="str">
        <f>VLOOKUP(A24,Players!$A$2:$D$491,3,FALSE)</f>
        <v xml:space="preserve"> </v>
      </c>
      <c r="F24" s="10" t="str">
        <f>VLOOKUP(A24,Players!$A$2:$D$491,4,FALSE)</f>
        <v xml:space="preserve"> 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</row>
    <row r="25" spans="1:145" ht="30">
      <c r="A25" s="30" t="s">
        <v>131</v>
      </c>
      <c r="B25" s="30"/>
      <c r="C25" s="30"/>
      <c r="D25" s="30"/>
      <c r="E25" s="30"/>
      <c r="F25" s="30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</row>
    <row r="26" spans="1:145">
      <c r="A26" s="19"/>
      <c r="B26" s="19" t="s">
        <v>18</v>
      </c>
      <c r="C26" s="19" t="s">
        <v>19</v>
      </c>
      <c r="D26" s="19" t="s">
        <v>1</v>
      </c>
      <c r="E26" s="19" t="s">
        <v>2</v>
      </c>
      <c r="F26" s="19" t="s">
        <v>3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</row>
    <row r="27" spans="1:145">
      <c r="A27" s="9">
        <v>9999</v>
      </c>
      <c r="B27" s="10">
        <v>21</v>
      </c>
      <c r="C27" s="10" t="str">
        <f>$C$3</f>
        <v>T1</v>
      </c>
      <c r="D27" s="10" t="str">
        <f>VLOOKUP(A27,Players!$A$2:$D$491,2,FALSE)</f>
        <v xml:space="preserve"> </v>
      </c>
      <c r="E27" s="10" t="str">
        <f>VLOOKUP(A27,Players!$A$2:$D$491,3,FALSE)</f>
        <v xml:space="preserve"> </v>
      </c>
      <c r="F27" s="10" t="str">
        <f>VLOOKUP(A27,Players!$A$2:$D$491,4,FALSE)</f>
        <v xml:space="preserve"> 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</row>
    <row r="28" spans="1:145">
      <c r="A28" s="9">
        <v>9999</v>
      </c>
      <c r="B28" s="10">
        <v>22</v>
      </c>
      <c r="C28" s="10" t="str">
        <f>$C$4</f>
        <v>T2</v>
      </c>
      <c r="D28" s="10" t="str">
        <f>VLOOKUP(A28,Players!$A$2:$D$491,2,FALSE)</f>
        <v xml:space="preserve"> </v>
      </c>
      <c r="E28" s="10" t="str">
        <f>VLOOKUP(A28,Players!$A$2:$D$491,3,FALSE)</f>
        <v xml:space="preserve"> </v>
      </c>
      <c r="F28" s="10" t="str">
        <f>VLOOKUP(A28,Players!$A$2:$D$491,4,FALSE)</f>
        <v xml:space="preserve"> 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</row>
    <row r="29" spans="1:145">
      <c r="A29" s="9">
        <v>9999</v>
      </c>
      <c r="B29" s="10">
        <v>23</v>
      </c>
      <c r="C29" s="10" t="str">
        <f>$C$5</f>
        <v>T3</v>
      </c>
      <c r="D29" s="10" t="str">
        <f>VLOOKUP(A29,Players!$A$2:$D$491,2,FALSE)</f>
        <v xml:space="preserve"> </v>
      </c>
      <c r="E29" s="10" t="str">
        <f>VLOOKUP(A29,Players!$A$2:$D$491,3,FALSE)</f>
        <v xml:space="preserve"> </v>
      </c>
      <c r="F29" s="10" t="str">
        <f>VLOOKUP(A29,Players!$A$2:$D$491,4,FALSE)</f>
        <v xml:space="preserve"> 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</row>
    <row r="30" spans="1:145">
      <c r="A30" s="9">
        <v>9999</v>
      </c>
      <c r="B30" s="10">
        <v>24</v>
      </c>
      <c r="C30" s="10" t="str">
        <f>$C$6</f>
        <v>T4</v>
      </c>
      <c r="D30" s="10" t="str">
        <f>VLOOKUP(A30,Players!$A$2:$D$491,2,FALSE)</f>
        <v xml:space="preserve"> </v>
      </c>
      <c r="E30" s="10" t="str">
        <f>VLOOKUP(A30,Players!$A$2:$D$491,3,FALSE)</f>
        <v xml:space="preserve"> </v>
      </c>
      <c r="F30" s="10" t="str">
        <f>VLOOKUP(A30,Players!$A$2:$D$491,4,FALSE)</f>
        <v xml:space="preserve"> 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</row>
    <row r="31" spans="1:145">
      <c r="A31" s="9">
        <v>9999</v>
      </c>
      <c r="B31" s="10">
        <v>25</v>
      </c>
      <c r="C31" s="10" t="str">
        <f>$C$7</f>
        <v>T5</v>
      </c>
      <c r="D31" s="10" t="str">
        <f>VLOOKUP(A31,Players!$A$2:$D$491,2,FALSE)</f>
        <v xml:space="preserve"> </v>
      </c>
      <c r="E31" s="10" t="str">
        <f>VLOOKUP(A31,Players!$A$2:$D$491,3,FALSE)</f>
        <v xml:space="preserve"> </v>
      </c>
      <c r="F31" s="10" t="str">
        <f>VLOOKUP(A31,Players!$A$2:$D$491,4,FALSE)</f>
        <v xml:space="preserve"> 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</row>
    <row r="32" spans="1:145">
      <c r="A32" s="9">
        <v>9999</v>
      </c>
      <c r="B32" s="10">
        <v>26</v>
      </c>
      <c r="C32" s="10" t="str">
        <f>$C$8</f>
        <v>T6</v>
      </c>
      <c r="D32" s="10" t="str">
        <f>VLOOKUP(A32,Players!$A$2:$D$491,2,FALSE)</f>
        <v xml:space="preserve"> </v>
      </c>
      <c r="E32" s="10" t="str">
        <f>VLOOKUP(A32,Players!$A$2:$D$491,3,FALSE)</f>
        <v xml:space="preserve"> </v>
      </c>
      <c r="F32" s="10" t="str">
        <f>VLOOKUP(A32,Players!$A$2:$D$491,4,FALSE)</f>
        <v xml:space="preserve"> 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</row>
    <row r="33" spans="1:145">
      <c r="A33" s="9">
        <v>9999</v>
      </c>
      <c r="B33" s="10">
        <v>27</v>
      </c>
      <c r="C33" s="10" t="str">
        <f>$C$9</f>
        <v>T7</v>
      </c>
      <c r="D33" s="10" t="str">
        <f>VLOOKUP(A33,Players!$A$2:$D$491,2,FALSE)</f>
        <v xml:space="preserve"> </v>
      </c>
      <c r="E33" s="10" t="str">
        <f>VLOOKUP(A33,Players!$A$2:$D$491,3,FALSE)</f>
        <v xml:space="preserve"> </v>
      </c>
      <c r="F33" s="10" t="str">
        <f>VLOOKUP(A33,Players!$A$2:$D$491,4,FALSE)</f>
        <v xml:space="preserve"> 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</row>
    <row r="34" spans="1:145">
      <c r="A34" s="9">
        <v>9999</v>
      </c>
      <c r="B34" s="10">
        <v>28</v>
      </c>
      <c r="C34" s="10" t="str">
        <f>$C$10</f>
        <v>T8</v>
      </c>
      <c r="D34" s="10" t="str">
        <f>VLOOKUP(A34,Players!$A$2:$D$491,2,FALSE)</f>
        <v xml:space="preserve"> </v>
      </c>
      <c r="E34" s="10" t="str">
        <f>VLOOKUP(A34,Players!$A$2:$D$491,3,FALSE)</f>
        <v xml:space="preserve"> </v>
      </c>
      <c r="F34" s="10" t="str">
        <f>VLOOKUP(A34,Players!$A$2:$D$491,4,FALSE)</f>
        <v xml:space="preserve"> 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</row>
    <row r="35" spans="1:145">
      <c r="A35" s="9">
        <v>9999</v>
      </c>
      <c r="B35" s="10">
        <v>29</v>
      </c>
      <c r="C35" s="10" t="str">
        <f>$C$11</f>
        <v>T9</v>
      </c>
      <c r="D35" s="10" t="str">
        <f>VLOOKUP(A35,Players!$A$2:$D$491,2,FALSE)</f>
        <v xml:space="preserve"> </v>
      </c>
      <c r="E35" s="10" t="str">
        <f>VLOOKUP(A35,Players!$A$2:$D$491,3,FALSE)</f>
        <v xml:space="preserve"> </v>
      </c>
      <c r="F35" s="10" t="str">
        <f>VLOOKUP(A35,Players!$A$2:$D$491,4,FALSE)</f>
        <v xml:space="preserve"> 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</row>
    <row r="36" spans="1:145">
      <c r="A36" s="9">
        <v>9999</v>
      </c>
      <c r="B36" s="10">
        <v>30</v>
      </c>
      <c r="C36" s="10" t="str">
        <f>$C$12</f>
        <v>T10</v>
      </c>
      <c r="D36" s="10" t="str">
        <f>VLOOKUP(A36,Players!$A$2:$D$491,2,FALSE)</f>
        <v xml:space="preserve"> </v>
      </c>
      <c r="E36" s="10" t="str">
        <f>VLOOKUP(A36,Players!$A$2:$D$491,3,FALSE)</f>
        <v xml:space="preserve"> </v>
      </c>
      <c r="F36" s="10" t="str">
        <f>VLOOKUP(A36,Players!$A$2:$D$491,4,FALSE)</f>
        <v xml:space="preserve"> 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</row>
    <row r="37" spans="1:145" ht="30">
      <c r="A37" s="30" t="s">
        <v>132</v>
      </c>
      <c r="B37" s="30"/>
      <c r="C37" s="30"/>
      <c r="D37" s="30"/>
      <c r="E37" s="30"/>
      <c r="F37" s="30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</row>
    <row r="38" spans="1:145">
      <c r="A38" s="19"/>
      <c r="B38" s="19" t="s">
        <v>18</v>
      </c>
      <c r="C38" s="19" t="s">
        <v>19</v>
      </c>
      <c r="D38" s="19" t="s">
        <v>1</v>
      </c>
      <c r="E38" s="19" t="s">
        <v>2</v>
      </c>
      <c r="F38" s="19" t="s">
        <v>3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</row>
    <row r="39" spans="1:145">
      <c r="A39" s="9">
        <v>9999</v>
      </c>
      <c r="B39" s="10">
        <v>31</v>
      </c>
      <c r="C39" s="10" t="str">
        <f>$C$12</f>
        <v>T10</v>
      </c>
      <c r="D39" s="10" t="str">
        <f>VLOOKUP(A39,Players!$A$2:$D$491,2,FALSE)</f>
        <v xml:space="preserve"> </v>
      </c>
      <c r="E39" s="10" t="str">
        <f>VLOOKUP(A39,Players!$A$2:$D$491,3,FALSE)</f>
        <v xml:space="preserve"> </v>
      </c>
      <c r="F39" s="10" t="str">
        <f>VLOOKUP(A39,Players!$A$2:$D$491,4,FALSE)</f>
        <v xml:space="preserve"> 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</row>
    <row r="40" spans="1:145">
      <c r="A40" s="9">
        <v>9999</v>
      </c>
      <c r="B40" s="10">
        <v>32</v>
      </c>
      <c r="C40" s="10" t="str">
        <f>$C$11</f>
        <v>T9</v>
      </c>
      <c r="D40" s="10" t="str">
        <f>VLOOKUP(A40,Players!$A$2:$D$491,2,FALSE)</f>
        <v xml:space="preserve"> </v>
      </c>
      <c r="E40" s="10" t="str">
        <f>VLOOKUP(A40,Players!$A$2:$D$491,3,FALSE)</f>
        <v xml:space="preserve"> </v>
      </c>
      <c r="F40" s="10" t="str">
        <f>VLOOKUP(A40,Players!$A$2:$D$491,4,FALSE)</f>
        <v xml:space="preserve"> 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</row>
    <row r="41" spans="1:145">
      <c r="A41" s="9">
        <v>9999</v>
      </c>
      <c r="B41" s="10">
        <v>33</v>
      </c>
      <c r="C41" s="10" t="str">
        <f>$C$10</f>
        <v>T8</v>
      </c>
      <c r="D41" s="10" t="str">
        <f>VLOOKUP(A41,Players!$A$2:$D$491,2,FALSE)</f>
        <v xml:space="preserve"> </v>
      </c>
      <c r="E41" s="10" t="str">
        <f>VLOOKUP(A41,Players!$A$2:$D$491,3,FALSE)</f>
        <v xml:space="preserve"> </v>
      </c>
      <c r="F41" s="10" t="str">
        <f>VLOOKUP(A41,Players!$A$2:$D$491,4,FALSE)</f>
        <v xml:space="preserve"> 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</row>
    <row r="42" spans="1:145">
      <c r="A42" s="9">
        <v>9999</v>
      </c>
      <c r="B42" s="10">
        <v>34</v>
      </c>
      <c r="C42" s="10" t="str">
        <f>$C$9</f>
        <v>T7</v>
      </c>
      <c r="D42" s="10" t="str">
        <f>VLOOKUP(A42,Players!$A$2:$D$491,2,FALSE)</f>
        <v xml:space="preserve"> </v>
      </c>
      <c r="E42" s="10" t="str">
        <f>VLOOKUP(A42,Players!$A$2:$D$491,3,FALSE)</f>
        <v xml:space="preserve"> </v>
      </c>
      <c r="F42" s="10" t="str">
        <f>VLOOKUP(A42,Players!$A$2:$D$491,4,FALSE)</f>
        <v xml:space="preserve"> 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</row>
    <row r="43" spans="1:145">
      <c r="A43" s="9">
        <v>9999</v>
      </c>
      <c r="B43" s="10">
        <v>35</v>
      </c>
      <c r="C43" s="10" t="str">
        <f>$C$8</f>
        <v>T6</v>
      </c>
      <c r="D43" s="10" t="str">
        <f>VLOOKUP(A43,Players!$A$2:$D$491,2,FALSE)</f>
        <v xml:space="preserve"> </v>
      </c>
      <c r="E43" s="10" t="str">
        <f>VLOOKUP(A43,Players!$A$2:$D$491,3,FALSE)</f>
        <v xml:space="preserve"> </v>
      </c>
      <c r="F43" s="10" t="str">
        <f>VLOOKUP(A43,Players!$A$2:$D$491,4,FALSE)</f>
        <v xml:space="preserve"> 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</row>
    <row r="44" spans="1:145">
      <c r="A44" s="9">
        <v>9999</v>
      </c>
      <c r="B44" s="10">
        <v>36</v>
      </c>
      <c r="C44" s="10" t="str">
        <f>$C$7</f>
        <v>T5</v>
      </c>
      <c r="D44" s="10" t="str">
        <f>VLOOKUP(A44,Players!$A$2:$D$491,2,FALSE)</f>
        <v xml:space="preserve"> </v>
      </c>
      <c r="E44" s="10" t="str">
        <f>VLOOKUP(A44,Players!$A$2:$D$491,3,FALSE)</f>
        <v xml:space="preserve"> </v>
      </c>
      <c r="F44" s="10" t="str">
        <f>VLOOKUP(A44,Players!$A$2:$D$491,4,FALSE)</f>
        <v xml:space="preserve"> 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</row>
    <row r="45" spans="1:145">
      <c r="A45" s="9">
        <v>9999</v>
      </c>
      <c r="B45" s="10">
        <v>37</v>
      </c>
      <c r="C45" s="10" t="str">
        <f>$C$6</f>
        <v>T4</v>
      </c>
      <c r="D45" s="10" t="str">
        <f>VLOOKUP(A45,Players!$A$2:$D$491,2,FALSE)</f>
        <v xml:space="preserve"> </v>
      </c>
      <c r="E45" s="10" t="str">
        <f>VLOOKUP(A45,Players!$A$2:$D$491,3,FALSE)</f>
        <v xml:space="preserve"> </v>
      </c>
      <c r="F45" s="10" t="str">
        <f>VLOOKUP(A45,Players!$A$2:$D$491,4,FALSE)</f>
        <v xml:space="preserve"> 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</row>
    <row r="46" spans="1:145">
      <c r="A46" s="9">
        <v>9999</v>
      </c>
      <c r="B46" s="10">
        <v>38</v>
      </c>
      <c r="C46" s="10" t="str">
        <f>$C$5</f>
        <v>T3</v>
      </c>
      <c r="D46" s="10" t="str">
        <f>VLOOKUP(A46,Players!$A$2:$D$491,2,FALSE)</f>
        <v xml:space="preserve"> </v>
      </c>
      <c r="E46" s="10" t="str">
        <f>VLOOKUP(A46,Players!$A$2:$D$491,3,FALSE)</f>
        <v xml:space="preserve"> </v>
      </c>
      <c r="F46" s="10" t="str">
        <f>VLOOKUP(A46,Players!$A$2:$D$491,4,FALSE)</f>
        <v xml:space="preserve"> 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</row>
    <row r="47" spans="1:145">
      <c r="A47" s="9">
        <v>9999</v>
      </c>
      <c r="B47" s="10">
        <v>39</v>
      </c>
      <c r="C47" s="10" t="str">
        <f>$C$4</f>
        <v>T2</v>
      </c>
      <c r="D47" s="10" t="str">
        <f>VLOOKUP(A47,Players!$A$2:$D$491,2,FALSE)</f>
        <v xml:space="preserve"> </v>
      </c>
      <c r="E47" s="10" t="str">
        <f>VLOOKUP(A47,Players!$A$2:$D$491,3,FALSE)</f>
        <v xml:space="preserve"> </v>
      </c>
      <c r="F47" s="10" t="str">
        <f>VLOOKUP(A47,Players!$A$2:$D$491,4,FALSE)</f>
        <v xml:space="preserve"> 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</row>
    <row r="48" spans="1:145">
      <c r="A48" s="9">
        <v>9999</v>
      </c>
      <c r="B48" s="10">
        <v>40</v>
      </c>
      <c r="C48" s="10" t="str">
        <f>$C$3</f>
        <v>T1</v>
      </c>
      <c r="D48" s="10" t="str">
        <f>VLOOKUP(A48,Players!$A$2:$D$491,2,FALSE)</f>
        <v xml:space="preserve"> </v>
      </c>
      <c r="E48" s="10" t="str">
        <f>VLOOKUP(A48,Players!$A$2:$D$491,3,FALSE)</f>
        <v xml:space="preserve"> </v>
      </c>
      <c r="F48" s="10" t="str">
        <f>VLOOKUP(A48,Players!$A$2:$D$491,4,FALSE)</f>
        <v xml:space="preserve"> 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</row>
    <row r="49" spans="1:145" ht="30">
      <c r="A49" s="30" t="s">
        <v>133</v>
      </c>
      <c r="B49" s="30"/>
      <c r="C49" s="30"/>
      <c r="D49" s="30"/>
      <c r="E49" s="30"/>
      <c r="F49" s="30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</row>
    <row r="50" spans="1:145">
      <c r="A50" s="19"/>
      <c r="B50" s="19" t="s">
        <v>18</v>
      </c>
      <c r="C50" s="19" t="s">
        <v>19</v>
      </c>
      <c r="D50" s="19" t="s">
        <v>1</v>
      </c>
      <c r="E50" s="19" t="s">
        <v>2</v>
      </c>
      <c r="F50" s="19" t="s">
        <v>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</row>
    <row r="51" spans="1:145">
      <c r="A51" s="9">
        <v>9999</v>
      </c>
      <c r="B51" s="10">
        <v>41</v>
      </c>
      <c r="C51" s="10" t="str">
        <f>$C$3</f>
        <v>T1</v>
      </c>
      <c r="D51" s="10" t="str">
        <f>VLOOKUP(A51,Players!$A$2:$D$491,2,FALSE)</f>
        <v xml:space="preserve"> </v>
      </c>
      <c r="E51" s="10" t="str">
        <f>VLOOKUP(A51,Players!$A$2:$D$491,3,FALSE)</f>
        <v xml:space="preserve"> </v>
      </c>
      <c r="F51" s="10" t="str">
        <f>VLOOKUP(A51,Players!$A$2:$D$491,4,FALSE)</f>
        <v xml:space="preserve"> 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</row>
    <row r="52" spans="1:145">
      <c r="A52" s="9">
        <v>9999</v>
      </c>
      <c r="B52" s="10">
        <v>42</v>
      </c>
      <c r="C52" s="10" t="str">
        <f>$C$4</f>
        <v>T2</v>
      </c>
      <c r="D52" s="10" t="str">
        <f>VLOOKUP(A52,Players!$A$2:$D$491,2,FALSE)</f>
        <v xml:space="preserve"> </v>
      </c>
      <c r="E52" s="10" t="str">
        <f>VLOOKUP(A52,Players!$A$2:$D$491,3,FALSE)</f>
        <v xml:space="preserve"> </v>
      </c>
      <c r="F52" s="10" t="str">
        <f>VLOOKUP(A52,Players!$A$2:$D$491,4,FALSE)</f>
        <v xml:space="preserve"> 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BH52" s="5"/>
      <c r="BI52" s="5"/>
      <c r="BJ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</row>
    <row r="53" spans="1:145">
      <c r="A53" s="9">
        <v>9999</v>
      </c>
      <c r="B53" s="10">
        <v>43</v>
      </c>
      <c r="C53" s="10" t="str">
        <f>$C$5</f>
        <v>T3</v>
      </c>
      <c r="D53" s="10" t="str">
        <f>VLOOKUP(A53,Players!$A$2:$D$491,2,FALSE)</f>
        <v xml:space="preserve"> </v>
      </c>
      <c r="E53" s="10" t="str">
        <f>VLOOKUP(A53,Players!$A$2:$D$491,3,FALSE)</f>
        <v xml:space="preserve"> </v>
      </c>
      <c r="F53" s="10" t="str">
        <f>VLOOKUP(A53,Players!$A$2:$D$491,4,FALSE)</f>
        <v xml:space="preserve"> 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BH53" s="5"/>
      <c r="BI53" s="5"/>
      <c r="BJ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</row>
    <row r="54" spans="1:145">
      <c r="A54" s="9">
        <v>9999</v>
      </c>
      <c r="B54" s="10">
        <v>44</v>
      </c>
      <c r="C54" s="10" t="str">
        <f>$C$6</f>
        <v>T4</v>
      </c>
      <c r="D54" s="10" t="str">
        <f>VLOOKUP(A54,Players!$A$2:$D$491,2,FALSE)</f>
        <v xml:space="preserve"> </v>
      </c>
      <c r="E54" s="10" t="str">
        <f>VLOOKUP(A54,Players!$A$2:$D$491,3,FALSE)</f>
        <v xml:space="preserve"> </v>
      </c>
      <c r="F54" s="10" t="str">
        <f>VLOOKUP(A54,Players!$A$2:$D$491,4,FALSE)</f>
        <v xml:space="preserve"> 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BH54" s="5"/>
      <c r="BI54" s="5"/>
      <c r="BJ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</row>
    <row r="55" spans="1:145">
      <c r="A55" s="9">
        <v>9999</v>
      </c>
      <c r="B55" s="10">
        <v>45</v>
      </c>
      <c r="C55" s="10" t="str">
        <f>$C$7</f>
        <v>T5</v>
      </c>
      <c r="D55" s="10" t="str">
        <f>VLOOKUP(A55,Players!$A$2:$D$491,2,FALSE)</f>
        <v xml:space="preserve"> </v>
      </c>
      <c r="E55" s="10" t="str">
        <f>VLOOKUP(A55,Players!$A$2:$D$491,3,FALSE)</f>
        <v xml:space="preserve"> </v>
      </c>
      <c r="F55" s="10" t="str">
        <f>VLOOKUP(A55,Players!$A$2:$D$491,4,FALSE)</f>
        <v xml:space="preserve"> 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BH55" s="5"/>
      <c r="BI55" s="5"/>
      <c r="BJ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</row>
    <row r="56" spans="1:145">
      <c r="A56" s="9">
        <v>9999</v>
      </c>
      <c r="B56" s="10">
        <v>46</v>
      </c>
      <c r="C56" s="10" t="str">
        <f>$C$8</f>
        <v>T6</v>
      </c>
      <c r="D56" s="10" t="str">
        <f>VLOOKUP(A56,Players!$A$2:$D$491,2,FALSE)</f>
        <v xml:space="preserve"> </v>
      </c>
      <c r="E56" s="10" t="str">
        <f>VLOOKUP(A56,Players!$A$2:$D$491,3,FALSE)</f>
        <v xml:space="preserve"> </v>
      </c>
      <c r="F56" s="10" t="str">
        <f>VLOOKUP(A56,Players!$A$2:$D$491,4,FALSE)</f>
        <v xml:space="preserve"> 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BH56" s="5"/>
      <c r="BI56" s="5"/>
      <c r="BJ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</row>
    <row r="57" spans="1:145">
      <c r="A57" s="9">
        <v>9999</v>
      </c>
      <c r="B57" s="10">
        <v>47</v>
      </c>
      <c r="C57" s="10" t="str">
        <f>$C$9</f>
        <v>T7</v>
      </c>
      <c r="D57" s="10" t="str">
        <f>VLOOKUP(A57,Players!$A$2:$D$491,2,FALSE)</f>
        <v xml:space="preserve"> </v>
      </c>
      <c r="E57" s="10" t="str">
        <f>VLOOKUP(A57,Players!$A$2:$D$491,3,FALSE)</f>
        <v xml:space="preserve"> </v>
      </c>
      <c r="F57" s="10" t="str">
        <f>VLOOKUP(A57,Players!$A$2:$D$491,4,FALSE)</f>
        <v xml:space="preserve"> 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BH57" s="5"/>
      <c r="BI57" s="5"/>
      <c r="BJ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</row>
    <row r="58" spans="1:145">
      <c r="A58" s="9">
        <v>9999</v>
      </c>
      <c r="B58" s="10">
        <v>48</v>
      </c>
      <c r="C58" s="10" t="str">
        <f>$C$10</f>
        <v>T8</v>
      </c>
      <c r="D58" s="10" t="str">
        <f>VLOOKUP(A58,Players!$A$2:$D$491,2,FALSE)</f>
        <v xml:space="preserve"> </v>
      </c>
      <c r="E58" s="10" t="str">
        <f>VLOOKUP(A58,Players!$A$2:$D$491,3,FALSE)</f>
        <v xml:space="preserve"> </v>
      </c>
      <c r="F58" s="10" t="str">
        <f>VLOOKUP(A58,Players!$A$2:$D$491,4,FALSE)</f>
        <v xml:space="preserve"> 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BH58" s="5"/>
      <c r="BI58" s="5"/>
      <c r="BJ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</row>
    <row r="59" spans="1:145">
      <c r="A59" s="9">
        <v>9999</v>
      </c>
      <c r="B59" s="10">
        <v>49</v>
      </c>
      <c r="C59" s="10" t="str">
        <f>$C$11</f>
        <v>T9</v>
      </c>
      <c r="D59" s="10" t="str">
        <f>VLOOKUP(A59,Players!$A$2:$D$491,2,FALSE)</f>
        <v xml:space="preserve"> </v>
      </c>
      <c r="E59" s="10" t="str">
        <f>VLOOKUP(A59,Players!$A$2:$D$491,3,FALSE)</f>
        <v xml:space="preserve"> </v>
      </c>
      <c r="F59" s="10" t="str">
        <f>VLOOKUP(A59,Players!$A$2:$D$491,4,FALSE)</f>
        <v xml:space="preserve"> 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BH59" s="5"/>
      <c r="BI59" s="5"/>
      <c r="BJ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</row>
    <row r="60" spans="1:145">
      <c r="A60" s="9">
        <v>9999</v>
      </c>
      <c r="B60" s="10">
        <v>50</v>
      </c>
      <c r="C60" s="10" t="str">
        <f>$C$12</f>
        <v>T10</v>
      </c>
      <c r="D60" s="10" t="str">
        <f>VLOOKUP(A60,Players!$A$2:$D$491,2,FALSE)</f>
        <v xml:space="preserve"> </v>
      </c>
      <c r="E60" s="10" t="str">
        <f>VLOOKUP(A60,Players!$A$2:$D$491,3,FALSE)</f>
        <v xml:space="preserve"> </v>
      </c>
      <c r="F60" s="10" t="str">
        <f>VLOOKUP(A60,Players!$A$2:$D$491,4,FALSE)</f>
        <v xml:space="preserve"> 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BH60" s="5"/>
      <c r="BI60" s="5"/>
      <c r="BJ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</row>
    <row r="61" spans="1:145" ht="30">
      <c r="A61" s="30" t="s">
        <v>134</v>
      </c>
      <c r="B61" s="30"/>
      <c r="C61" s="30"/>
      <c r="D61" s="30"/>
      <c r="E61" s="30"/>
      <c r="F61" s="30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BH61" s="5"/>
      <c r="BI61" s="5"/>
      <c r="BJ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</row>
    <row r="62" spans="1:145">
      <c r="A62" s="19"/>
      <c r="B62" s="19" t="s">
        <v>18</v>
      </c>
      <c r="C62" s="19" t="s">
        <v>19</v>
      </c>
      <c r="D62" s="19" t="s">
        <v>1</v>
      </c>
      <c r="E62" s="19" t="s">
        <v>2</v>
      </c>
      <c r="F62" s="19" t="s">
        <v>3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BH62" s="5"/>
      <c r="BI62" s="5"/>
      <c r="BJ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</row>
    <row r="63" spans="1:145">
      <c r="A63" s="9">
        <v>9999</v>
      </c>
      <c r="B63" s="10">
        <v>51</v>
      </c>
      <c r="C63" s="10" t="str">
        <f>$C$12</f>
        <v>T10</v>
      </c>
      <c r="D63" s="10" t="str">
        <f>VLOOKUP(A63,Players!$A$2:$D$491,2,FALSE)</f>
        <v xml:space="preserve"> </v>
      </c>
      <c r="E63" s="10" t="str">
        <f>VLOOKUP(A63,Players!$A$2:$D$491,3,FALSE)</f>
        <v xml:space="preserve"> </v>
      </c>
      <c r="F63" s="10" t="str">
        <f>VLOOKUP(A63,Players!$A$2:$D$491,4,FALSE)</f>
        <v xml:space="preserve"> 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BH63" s="5"/>
      <c r="BI63" s="5"/>
      <c r="BJ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</row>
    <row r="64" spans="1:145">
      <c r="A64" s="9">
        <v>9999</v>
      </c>
      <c r="B64" s="10">
        <v>52</v>
      </c>
      <c r="C64" s="10" t="str">
        <f>$C$11</f>
        <v>T9</v>
      </c>
      <c r="D64" s="10" t="str">
        <f>VLOOKUP(A64,Players!$A$2:$D$491,2,FALSE)</f>
        <v xml:space="preserve"> </v>
      </c>
      <c r="E64" s="10" t="str">
        <f>VLOOKUP(A64,Players!$A$2:$D$491,3,FALSE)</f>
        <v xml:space="preserve"> </v>
      </c>
      <c r="F64" s="10" t="str">
        <f>VLOOKUP(A64,Players!$A$2:$D$491,4,FALSE)</f>
        <v xml:space="preserve"> 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BH64" s="5"/>
      <c r="BI64" s="5"/>
      <c r="BJ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</row>
    <row r="65" spans="1:145">
      <c r="A65" s="9">
        <v>9999</v>
      </c>
      <c r="B65" s="10">
        <v>53</v>
      </c>
      <c r="C65" s="10" t="str">
        <f>$C$10</f>
        <v>T8</v>
      </c>
      <c r="D65" s="10" t="str">
        <f>VLOOKUP(A65,Players!$A$2:$D$491,2,FALSE)</f>
        <v xml:space="preserve"> </v>
      </c>
      <c r="E65" s="10" t="str">
        <f>VLOOKUP(A65,Players!$A$2:$D$491,3,FALSE)</f>
        <v xml:space="preserve"> </v>
      </c>
      <c r="F65" s="10" t="str">
        <f>VLOOKUP(A65,Players!$A$2:$D$491,4,FALSE)</f>
        <v xml:space="preserve"> 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BH65" s="5"/>
      <c r="BI65" s="5"/>
      <c r="BJ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</row>
    <row r="66" spans="1:145">
      <c r="A66" s="9">
        <v>9999</v>
      </c>
      <c r="B66" s="10">
        <v>54</v>
      </c>
      <c r="C66" s="10" t="str">
        <f>$C$9</f>
        <v>T7</v>
      </c>
      <c r="D66" s="10" t="str">
        <f>VLOOKUP(A66,Players!$A$2:$D$491,2,FALSE)</f>
        <v xml:space="preserve"> </v>
      </c>
      <c r="E66" s="10" t="str">
        <f>VLOOKUP(A66,Players!$A$2:$D$491,3,FALSE)</f>
        <v xml:space="preserve"> </v>
      </c>
      <c r="F66" s="10" t="str">
        <f>VLOOKUP(A66,Players!$A$2:$D$491,4,FALSE)</f>
        <v xml:space="preserve"> </v>
      </c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BH66" s="5"/>
      <c r="BI66" s="5"/>
      <c r="BJ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</row>
    <row r="67" spans="1:145">
      <c r="A67" s="9">
        <v>9999</v>
      </c>
      <c r="B67" s="10">
        <v>55</v>
      </c>
      <c r="C67" s="10" t="str">
        <f>$C$8</f>
        <v>T6</v>
      </c>
      <c r="D67" s="10" t="str">
        <f>VLOOKUP(A67,Players!$A$2:$D$491,2,FALSE)</f>
        <v xml:space="preserve"> </v>
      </c>
      <c r="E67" s="10" t="str">
        <f>VLOOKUP(A67,Players!$A$2:$D$491,3,FALSE)</f>
        <v xml:space="preserve"> </v>
      </c>
      <c r="F67" s="10" t="str">
        <f>VLOOKUP(A67,Players!$A$2:$D$491,4,FALSE)</f>
        <v xml:space="preserve"> 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BH67" s="5"/>
      <c r="BI67" s="5"/>
      <c r="BJ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</row>
    <row r="68" spans="1:145">
      <c r="A68" s="9">
        <v>9999</v>
      </c>
      <c r="B68" s="10">
        <v>56</v>
      </c>
      <c r="C68" s="10" t="str">
        <f>$C$7</f>
        <v>T5</v>
      </c>
      <c r="D68" s="10" t="str">
        <f>VLOOKUP(A68,Players!$A$2:$D$491,2,FALSE)</f>
        <v xml:space="preserve"> </v>
      </c>
      <c r="E68" s="10" t="str">
        <f>VLOOKUP(A68,Players!$A$2:$D$491,3,FALSE)</f>
        <v xml:space="preserve"> </v>
      </c>
      <c r="F68" s="10" t="str">
        <f>VLOOKUP(A68,Players!$A$2:$D$491,4,FALSE)</f>
        <v xml:space="preserve"> </v>
      </c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BH68" s="5"/>
      <c r="BI68" s="5"/>
      <c r="BJ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</row>
    <row r="69" spans="1:145">
      <c r="A69" s="9">
        <v>9999</v>
      </c>
      <c r="B69" s="10">
        <v>57</v>
      </c>
      <c r="C69" s="10" t="str">
        <f>$C$6</f>
        <v>T4</v>
      </c>
      <c r="D69" s="10" t="str">
        <f>VLOOKUP(A69,Players!$A$2:$D$491,2,FALSE)</f>
        <v xml:space="preserve"> </v>
      </c>
      <c r="E69" s="10" t="str">
        <f>VLOOKUP(A69,Players!$A$2:$D$491,3,FALSE)</f>
        <v xml:space="preserve"> </v>
      </c>
      <c r="F69" s="10" t="str">
        <f>VLOOKUP(A69,Players!$A$2:$D$491,4,FALSE)</f>
        <v xml:space="preserve"> 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</row>
    <row r="70" spans="1:145">
      <c r="A70" s="9">
        <v>9999</v>
      </c>
      <c r="B70" s="10">
        <v>58</v>
      </c>
      <c r="C70" s="10" t="str">
        <f>$C$5</f>
        <v>T3</v>
      </c>
      <c r="D70" s="10" t="str">
        <f>VLOOKUP(A70,Players!$A$2:$D$491,2,FALSE)</f>
        <v xml:space="preserve"> </v>
      </c>
      <c r="E70" s="10" t="str">
        <f>VLOOKUP(A70,Players!$A$2:$D$491,3,FALSE)</f>
        <v xml:space="preserve"> </v>
      </c>
      <c r="F70" s="10" t="str">
        <f>VLOOKUP(A70,Players!$A$2:$D$491,4,FALSE)</f>
        <v xml:space="preserve"> </v>
      </c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</row>
    <row r="71" spans="1:145">
      <c r="A71" s="9">
        <v>9999</v>
      </c>
      <c r="B71" s="10">
        <v>59</v>
      </c>
      <c r="C71" s="10" t="str">
        <f>$C$4</f>
        <v>T2</v>
      </c>
      <c r="D71" s="10" t="str">
        <f>VLOOKUP(A71,Players!$A$2:$D$491,2,FALSE)</f>
        <v xml:space="preserve"> </v>
      </c>
      <c r="E71" s="10" t="str">
        <f>VLOOKUP(A71,Players!$A$2:$D$491,3,FALSE)</f>
        <v xml:space="preserve"> </v>
      </c>
      <c r="F71" s="10" t="str">
        <f>VLOOKUP(A71,Players!$A$2:$D$491,4,FALSE)</f>
        <v xml:space="preserve"> 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</row>
    <row r="72" spans="1:145">
      <c r="A72" s="9">
        <v>9999</v>
      </c>
      <c r="B72" s="10">
        <v>60</v>
      </c>
      <c r="C72" s="10" t="str">
        <f>$C$3</f>
        <v>T1</v>
      </c>
      <c r="D72" s="10" t="str">
        <f>VLOOKUP(A72,Players!$A$2:$D$491,2,FALSE)</f>
        <v xml:space="preserve"> </v>
      </c>
      <c r="E72" s="10" t="str">
        <f>VLOOKUP(A72,Players!$A$2:$D$491,3,FALSE)</f>
        <v xml:space="preserve"> </v>
      </c>
      <c r="F72" s="10" t="str">
        <f>VLOOKUP(A72,Players!$A$2:$D$491,4,FALSE)</f>
        <v xml:space="preserve"> 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</row>
    <row r="73" spans="1:145" ht="30">
      <c r="A73" s="30" t="s">
        <v>135</v>
      </c>
      <c r="B73" s="30"/>
      <c r="C73" s="30"/>
      <c r="D73" s="30"/>
      <c r="E73" s="30"/>
      <c r="F73" s="30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CM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</row>
    <row r="74" spans="1:145">
      <c r="A74" s="19"/>
      <c r="B74" s="19" t="s">
        <v>18</v>
      </c>
      <c r="C74" s="19" t="s">
        <v>19</v>
      </c>
      <c r="D74" s="19" t="s">
        <v>1</v>
      </c>
      <c r="E74" s="19" t="s">
        <v>2</v>
      </c>
      <c r="F74" s="19" t="s">
        <v>3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CM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</row>
    <row r="75" spans="1:145">
      <c r="A75" s="9">
        <v>9999</v>
      </c>
      <c r="B75" s="10">
        <v>61</v>
      </c>
      <c r="C75" s="10" t="str">
        <f>$C$3</f>
        <v>T1</v>
      </c>
      <c r="D75" s="10" t="str">
        <f>VLOOKUP(A75,Players!$A$2:$D$491,2,FALSE)</f>
        <v xml:space="preserve"> </v>
      </c>
      <c r="E75" s="10" t="str">
        <f>VLOOKUP(A75,Players!$A$2:$D$491,3,FALSE)</f>
        <v xml:space="preserve"> </v>
      </c>
      <c r="F75" s="10" t="str">
        <f>VLOOKUP(A75,Players!$A$2:$D$491,4,FALSE)</f>
        <v xml:space="preserve"> </v>
      </c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CM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</row>
    <row r="76" spans="1:145">
      <c r="A76" s="9">
        <v>9999</v>
      </c>
      <c r="B76" s="10">
        <v>62</v>
      </c>
      <c r="C76" s="10" t="str">
        <f>$C$4</f>
        <v>T2</v>
      </c>
      <c r="D76" s="10" t="str">
        <f>VLOOKUP(A76,Players!$A$2:$D$491,2,FALSE)</f>
        <v xml:space="preserve"> </v>
      </c>
      <c r="E76" s="10" t="str">
        <f>VLOOKUP(A76,Players!$A$2:$D$491,3,FALSE)</f>
        <v xml:space="preserve"> </v>
      </c>
      <c r="F76" s="10" t="str">
        <f>VLOOKUP(A76,Players!$A$2:$D$491,4,FALSE)</f>
        <v xml:space="preserve"> </v>
      </c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CM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</row>
    <row r="77" spans="1:145">
      <c r="A77" s="9">
        <v>9999</v>
      </c>
      <c r="B77" s="10">
        <v>63</v>
      </c>
      <c r="C77" s="10" t="str">
        <f>$C$5</f>
        <v>T3</v>
      </c>
      <c r="D77" s="10" t="str">
        <f>VLOOKUP(A77,Players!$A$2:$D$491,2,FALSE)</f>
        <v xml:space="preserve"> </v>
      </c>
      <c r="E77" s="10" t="str">
        <f>VLOOKUP(A77,Players!$A$2:$D$491,3,FALSE)</f>
        <v xml:space="preserve"> </v>
      </c>
      <c r="F77" s="10" t="str">
        <f>VLOOKUP(A77,Players!$A$2:$D$491,4,FALSE)</f>
        <v xml:space="preserve"> </v>
      </c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CM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</row>
    <row r="78" spans="1:145">
      <c r="A78" s="9">
        <v>9999</v>
      </c>
      <c r="B78" s="10">
        <v>64</v>
      </c>
      <c r="C78" s="10" t="str">
        <f>$C$6</f>
        <v>T4</v>
      </c>
      <c r="D78" s="10" t="str">
        <f>VLOOKUP(A78,Players!$A$2:$D$491,2,FALSE)</f>
        <v xml:space="preserve"> </v>
      </c>
      <c r="E78" s="10" t="str">
        <f>VLOOKUP(A78,Players!$A$2:$D$491,3,FALSE)</f>
        <v xml:space="preserve"> </v>
      </c>
      <c r="F78" s="10" t="str">
        <f>VLOOKUP(A78,Players!$A$2:$D$491,4,FALSE)</f>
        <v xml:space="preserve"> </v>
      </c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CM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</row>
    <row r="79" spans="1:145">
      <c r="A79" s="9">
        <v>9999</v>
      </c>
      <c r="B79" s="10">
        <v>65</v>
      </c>
      <c r="C79" s="10" t="str">
        <f>$C$7</f>
        <v>T5</v>
      </c>
      <c r="D79" s="10" t="str">
        <f>VLOOKUP(A79,Players!$A$2:$D$491,2,FALSE)</f>
        <v xml:space="preserve"> </v>
      </c>
      <c r="E79" s="10" t="str">
        <f>VLOOKUP(A79,Players!$A$2:$D$491,3,FALSE)</f>
        <v xml:space="preserve"> </v>
      </c>
      <c r="F79" s="10" t="str">
        <f>VLOOKUP(A79,Players!$A$2:$D$491,4,FALSE)</f>
        <v xml:space="preserve"> </v>
      </c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CM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</row>
    <row r="80" spans="1:145">
      <c r="A80" s="9">
        <v>9999</v>
      </c>
      <c r="B80" s="10">
        <v>66</v>
      </c>
      <c r="C80" s="10" t="str">
        <f>$C$8</f>
        <v>T6</v>
      </c>
      <c r="D80" s="10" t="str">
        <f>VLOOKUP(A80,Players!$A$2:$D$491,2,FALSE)</f>
        <v xml:space="preserve"> </v>
      </c>
      <c r="E80" s="10" t="str">
        <f>VLOOKUP(A80,Players!$A$2:$D$491,3,FALSE)</f>
        <v xml:space="preserve"> </v>
      </c>
      <c r="F80" s="10" t="str">
        <f>VLOOKUP(A80,Players!$A$2:$D$491,4,FALSE)</f>
        <v xml:space="preserve"> </v>
      </c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CM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</row>
    <row r="81" spans="1:145">
      <c r="A81" s="9">
        <v>9999</v>
      </c>
      <c r="B81" s="10">
        <v>67</v>
      </c>
      <c r="C81" s="10" t="str">
        <f>$C$9</f>
        <v>T7</v>
      </c>
      <c r="D81" s="10" t="str">
        <f>VLOOKUP(A81,Players!$A$2:$D$491,2,FALSE)</f>
        <v xml:space="preserve"> </v>
      </c>
      <c r="E81" s="10" t="str">
        <f>VLOOKUP(A81,Players!$A$2:$D$491,3,FALSE)</f>
        <v xml:space="preserve"> </v>
      </c>
      <c r="F81" s="10" t="str">
        <f>VLOOKUP(A81,Players!$A$2:$D$491,4,FALSE)</f>
        <v xml:space="preserve"> 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CM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</row>
    <row r="82" spans="1:145">
      <c r="A82" s="9">
        <v>9999</v>
      </c>
      <c r="B82" s="10">
        <v>68</v>
      </c>
      <c r="C82" s="10" t="str">
        <f>$C$10</f>
        <v>T8</v>
      </c>
      <c r="D82" s="10" t="str">
        <f>VLOOKUP(A82,Players!$A$2:$D$491,2,FALSE)</f>
        <v xml:space="preserve"> </v>
      </c>
      <c r="E82" s="10" t="str">
        <f>VLOOKUP(A82,Players!$A$2:$D$491,3,FALSE)</f>
        <v xml:space="preserve"> </v>
      </c>
      <c r="F82" s="10" t="str">
        <f>VLOOKUP(A82,Players!$A$2:$D$491,4,FALSE)</f>
        <v xml:space="preserve"> </v>
      </c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CM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</row>
    <row r="83" spans="1:145">
      <c r="A83" s="9">
        <v>9999</v>
      </c>
      <c r="B83" s="10">
        <v>69</v>
      </c>
      <c r="C83" s="10" t="str">
        <f>$C$11</f>
        <v>T9</v>
      </c>
      <c r="D83" s="10" t="str">
        <f>VLOOKUP(A83,Players!$A$2:$D$491,2,FALSE)</f>
        <v xml:space="preserve"> </v>
      </c>
      <c r="E83" s="10" t="str">
        <f>VLOOKUP(A83,Players!$A$2:$D$491,3,FALSE)</f>
        <v xml:space="preserve"> </v>
      </c>
      <c r="F83" s="10" t="str">
        <f>VLOOKUP(A83,Players!$A$2:$D$491,4,FALSE)</f>
        <v xml:space="preserve"> </v>
      </c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CM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</row>
    <row r="84" spans="1:145">
      <c r="A84" s="9">
        <v>9999</v>
      </c>
      <c r="B84" s="10">
        <v>70</v>
      </c>
      <c r="C84" s="10" t="str">
        <f>$C$12</f>
        <v>T10</v>
      </c>
      <c r="D84" s="10" t="str">
        <f>VLOOKUP(A84,Players!$A$2:$D$491,2,FALSE)</f>
        <v xml:space="preserve"> </v>
      </c>
      <c r="E84" s="10" t="str">
        <f>VLOOKUP(A84,Players!$A$2:$D$491,3,FALSE)</f>
        <v xml:space="preserve"> </v>
      </c>
      <c r="F84" s="10" t="str">
        <f>VLOOKUP(A84,Players!$A$2:$D$491,4,FALSE)</f>
        <v xml:space="preserve"> </v>
      </c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CM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</row>
    <row r="85" spans="1:145" ht="30">
      <c r="A85" s="30" t="s">
        <v>136</v>
      </c>
      <c r="B85" s="30"/>
      <c r="C85" s="30"/>
      <c r="D85" s="30"/>
      <c r="E85" s="30"/>
      <c r="F85" s="30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CM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</row>
    <row r="86" spans="1:145">
      <c r="A86" s="19"/>
      <c r="B86" s="19" t="s">
        <v>18</v>
      </c>
      <c r="C86" s="19" t="s">
        <v>19</v>
      </c>
      <c r="D86" s="19" t="s">
        <v>1</v>
      </c>
      <c r="E86" s="19" t="s">
        <v>2</v>
      </c>
      <c r="F86" s="19" t="s">
        <v>3</v>
      </c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CM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</row>
    <row r="87" spans="1:145">
      <c r="A87" s="9">
        <v>9999</v>
      </c>
      <c r="B87" s="10">
        <v>71</v>
      </c>
      <c r="C87" s="10" t="str">
        <f>$C$12</f>
        <v>T10</v>
      </c>
      <c r="D87" s="10" t="str">
        <f>VLOOKUP(A87,Players!$A$2:$D$491,2,FALSE)</f>
        <v xml:space="preserve"> </v>
      </c>
      <c r="E87" s="10" t="str">
        <f>VLOOKUP(A87,Players!$A$2:$D$491,3,FALSE)</f>
        <v xml:space="preserve"> </v>
      </c>
      <c r="F87" s="10" t="str">
        <f>VLOOKUP(A87,Players!$A$2:$D$491,4,FALSE)</f>
        <v xml:space="preserve"> </v>
      </c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CM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</row>
    <row r="88" spans="1:145">
      <c r="A88" s="9">
        <v>9999</v>
      </c>
      <c r="B88" s="10">
        <v>72</v>
      </c>
      <c r="C88" s="10" t="str">
        <f>$C$11</f>
        <v>T9</v>
      </c>
      <c r="D88" s="10" t="str">
        <f>VLOOKUP(A88,Players!$A$2:$D$491,2,FALSE)</f>
        <v xml:space="preserve"> </v>
      </c>
      <c r="E88" s="10" t="str">
        <f>VLOOKUP(A88,Players!$A$2:$D$491,3,FALSE)</f>
        <v xml:space="preserve"> </v>
      </c>
      <c r="F88" s="10" t="str">
        <f>VLOOKUP(A88,Players!$A$2:$D$491,4,FALSE)</f>
        <v xml:space="preserve"> 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CM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</row>
    <row r="89" spans="1:145">
      <c r="A89" s="9">
        <v>9999</v>
      </c>
      <c r="B89" s="10">
        <v>73</v>
      </c>
      <c r="C89" s="10" t="str">
        <f>$C$10</f>
        <v>T8</v>
      </c>
      <c r="D89" s="10" t="str">
        <f>VLOOKUP(A89,Players!$A$2:$D$491,2,FALSE)</f>
        <v xml:space="preserve"> </v>
      </c>
      <c r="E89" s="10" t="str">
        <f>VLOOKUP(A89,Players!$A$2:$D$491,3,FALSE)</f>
        <v xml:space="preserve"> </v>
      </c>
      <c r="F89" s="10" t="str">
        <f>VLOOKUP(A89,Players!$A$2:$D$491,4,FALSE)</f>
        <v xml:space="preserve"> </v>
      </c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CM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</row>
    <row r="90" spans="1:145">
      <c r="A90" s="9">
        <v>9999</v>
      </c>
      <c r="B90" s="10">
        <v>74</v>
      </c>
      <c r="C90" s="10" t="str">
        <f>$C$9</f>
        <v>T7</v>
      </c>
      <c r="D90" s="10" t="str">
        <f>VLOOKUP(A90,Players!$A$2:$D$491,2,FALSE)</f>
        <v xml:space="preserve"> </v>
      </c>
      <c r="E90" s="10" t="str">
        <f>VLOOKUP(A90,Players!$A$2:$D$491,3,FALSE)</f>
        <v xml:space="preserve"> </v>
      </c>
      <c r="F90" s="10" t="str">
        <f>VLOOKUP(A90,Players!$A$2:$D$491,4,FALSE)</f>
        <v xml:space="preserve"> 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CM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</row>
    <row r="91" spans="1:145">
      <c r="A91" s="9">
        <v>9999</v>
      </c>
      <c r="B91" s="10">
        <v>75</v>
      </c>
      <c r="C91" s="10" t="str">
        <f>$C$8</f>
        <v>T6</v>
      </c>
      <c r="D91" s="10" t="str">
        <f>VLOOKUP(A91,Players!$A$2:$D$491,2,FALSE)</f>
        <v xml:space="preserve"> </v>
      </c>
      <c r="E91" s="10" t="str">
        <f>VLOOKUP(A91,Players!$A$2:$D$491,3,FALSE)</f>
        <v xml:space="preserve"> </v>
      </c>
      <c r="F91" s="10" t="str">
        <f>VLOOKUP(A91,Players!$A$2:$D$491,4,FALSE)</f>
        <v xml:space="preserve"> </v>
      </c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</row>
    <row r="92" spans="1:145">
      <c r="A92" s="9">
        <v>9999</v>
      </c>
      <c r="B92" s="10">
        <v>76</v>
      </c>
      <c r="C92" s="10" t="str">
        <f>$C$7</f>
        <v>T5</v>
      </c>
      <c r="D92" s="10" t="str">
        <f>VLOOKUP(A92,Players!$A$2:$D$491,2,FALSE)</f>
        <v xml:space="preserve"> </v>
      </c>
      <c r="E92" s="10" t="str">
        <f>VLOOKUP(A92,Players!$A$2:$D$491,3,FALSE)</f>
        <v xml:space="preserve"> </v>
      </c>
      <c r="F92" s="10" t="str">
        <f>VLOOKUP(A92,Players!$A$2:$D$491,4,FALSE)</f>
        <v xml:space="preserve"> </v>
      </c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</row>
    <row r="93" spans="1:145">
      <c r="A93" s="9">
        <v>9999</v>
      </c>
      <c r="B93" s="10">
        <v>77</v>
      </c>
      <c r="C93" s="10" t="str">
        <f>$C$6</f>
        <v>T4</v>
      </c>
      <c r="D93" s="10" t="str">
        <f>VLOOKUP(A93,Players!$A$2:$D$491,2,FALSE)</f>
        <v xml:space="preserve"> </v>
      </c>
      <c r="E93" s="10" t="str">
        <f>VLOOKUP(A93,Players!$A$2:$D$491,3,FALSE)</f>
        <v xml:space="preserve"> </v>
      </c>
      <c r="F93" s="10" t="str">
        <f>VLOOKUP(A93,Players!$A$2:$D$491,4,FALSE)</f>
        <v xml:space="preserve"> </v>
      </c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</row>
    <row r="94" spans="1:145">
      <c r="A94" s="9">
        <v>9999</v>
      </c>
      <c r="B94" s="10">
        <v>78</v>
      </c>
      <c r="C94" s="10" t="str">
        <f>$C$5</f>
        <v>T3</v>
      </c>
      <c r="D94" s="10" t="str">
        <f>VLOOKUP(A94,Players!$A$2:$D$491,2,FALSE)</f>
        <v xml:space="preserve"> </v>
      </c>
      <c r="E94" s="10" t="str">
        <f>VLOOKUP(A94,Players!$A$2:$D$491,3,FALSE)</f>
        <v xml:space="preserve"> </v>
      </c>
      <c r="F94" s="10" t="str">
        <f>VLOOKUP(A94,Players!$A$2:$D$491,4,FALSE)</f>
        <v xml:space="preserve"> </v>
      </c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</row>
    <row r="95" spans="1:145">
      <c r="A95" s="9">
        <v>9999</v>
      </c>
      <c r="B95" s="10">
        <v>79</v>
      </c>
      <c r="C95" s="10" t="str">
        <f>$C$4</f>
        <v>T2</v>
      </c>
      <c r="D95" s="10" t="str">
        <f>VLOOKUP(A95,Players!$A$2:$D$491,2,FALSE)</f>
        <v xml:space="preserve"> </v>
      </c>
      <c r="E95" s="10" t="str">
        <f>VLOOKUP(A95,Players!$A$2:$D$491,3,FALSE)</f>
        <v xml:space="preserve"> </v>
      </c>
      <c r="F95" s="10" t="str">
        <f>VLOOKUP(A95,Players!$A$2:$D$491,4,FALSE)</f>
        <v xml:space="preserve"> </v>
      </c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</row>
    <row r="96" spans="1:145">
      <c r="A96" s="9">
        <v>9999</v>
      </c>
      <c r="B96" s="10">
        <v>80</v>
      </c>
      <c r="C96" s="10" t="str">
        <f>$C$3</f>
        <v>T1</v>
      </c>
      <c r="D96" s="10" t="str">
        <f>VLOOKUP(A96,Players!$A$2:$D$491,2,FALSE)</f>
        <v xml:space="preserve"> </v>
      </c>
      <c r="E96" s="10" t="str">
        <f>VLOOKUP(A96,Players!$A$2:$D$491,3,FALSE)</f>
        <v xml:space="preserve"> </v>
      </c>
      <c r="F96" s="10" t="str">
        <f>VLOOKUP(A96,Players!$A$2:$D$491,4,FALSE)</f>
        <v xml:space="preserve"> </v>
      </c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</row>
    <row r="97" spans="1:145" ht="30">
      <c r="A97" s="30" t="s">
        <v>137</v>
      </c>
      <c r="B97" s="30"/>
      <c r="C97" s="30"/>
      <c r="D97" s="30"/>
      <c r="E97" s="30"/>
      <c r="F97" s="30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</row>
    <row r="98" spans="1:145">
      <c r="A98" s="19"/>
      <c r="B98" s="19" t="s">
        <v>18</v>
      </c>
      <c r="C98" s="19" t="s">
        <v>19</v>
      </c>
      <c r="D98" s="19" t="s">
        <v>1</v>
      </c>
      <c r="E98" s="19" t="s">
        <v>2</v>
      </c>
      <c r="F98" s="19" t="s">
        <v>3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</row>
    <row r="99" spans="1:145">
      <c r="A99" s="9">
        <v>9999</v>
      </c>
      <c r="B99" s="10">
        <v>81</v>
      </c>
      <c r="C99" s="10" t="str">
        <f>$C$3</f>
        <v>T1</v>
      </c>
      <c r="D99" s="10" t="str">
        <f>VLOOKUP(A99,Players!$A$2:$D$491,2,FALSE)</f>
        <v xml:space="preserve"> </v>
      </c>
      <c r="E99" s="10" t="str">
        <f>VLOOKUP(A99,Players!$A$2:$D$491,3,FALSE)</f>
        <v xml:space="preserve"> </v>
      </c>
      <c r="F99" s="10" t="str">
        <f>VLOOKUP(A99,Players!$A$2:$D$491,4,FALSE)</f>
        <v xml:space="preserve"> </v>
      </c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</row>
    <row r="100" spans="1:145">
      <c r="A100" s="9">
        <v>9999</v>
      </c>
      <c r="B100" s="10">
        <v>82</v>
      </c>
      <c r="C100" s="10" t="str">
        <f>$C$4</f>
        <v>T2</v>
      </c>
      <c r="D100" s="10" t="str">
        <f>VLOOKUP(A100,Players!$A$2:$D$491,2,FALSE)</f>
        <v xml:space="preserve"> </v>
      </c>
      <c r="E100" s="10" t="str">
        <f>VLOOKUP(A100,Players!$A$2:$D$491,3,FALSE)</f>
        <v xml:space="preserve"> </v>
      </c>
      <c r="F100" s="10" t="str">
        <f>VLOOKUP(A100,Players!$A$2:$D$491,4,FALSE)</f>
        <v xml:space="preserve"> </v>
      </c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</row>
    <row r="101" spans="1:145">
      <c r="A101" s="9">
        <v>9999</v>
      </c>
      <c r="B101" s="10">
        <v>83</v>
      </c>
      <c r="C101" s="10" t="str">
        <f>$C$5</f>
        <v>T3</v>
      </c>
      <c r="D101" s="10" t="str">
        <f>VLOOKUP(A101,Players!$A$2:$D$491,2,FALSE)</f>
        <v xml:space="preserve"> </v>
      </c>
      <c r="E101" s="10" t="str">
        <f>VLOOKUP(A101,Players!$A$2:$D$491,3,FALSE)</f>
        <v xml:space="preserve"> </v>
      </c>
      <c r="F101" s="10" t="str">
        <f>VLOOKUP(A101,Players!$A$2:$D$491,4,FALSE)</f>
        <v xml:space="preserve"> </v>
      </c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</row>
    <row r="102" spans="1:145">
      <c r="A102" s="9">
        <v>9999</v>
      </c>
      <c r="B102" s="10">
        <v>84</v>
      </c>
      <c r="C102" s="10" t="str">
        <f>$C$6</f>
        <v>T4</v>
      </c>
      <c r="D102" s="10" t="str">
        <f>VLOOKUP(A102,Players!$A$2:$D$491,2,FALSE)</f>
        <v xml:space="preserve"> </v>
      </c>
      <c r="E102" s="10" t="str">
        <f>VLOOKUP(A102,Players!$A$2:$D$491,3,FALSE)</f>
        <v xml:space="preserve"> </v>
      </c>
      <c r="F102" s="10" t="str">
        <f>VLOOKUP(A102,Players!$A$2:$D$491,4,FALSE)</f>
        <v xml:space="preserve"> </v>
      </c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</row>
    <row r="103" spans="1:145">
      <c r="A103" s="9">
        <v>9999</v>
      </c>
      <c r="B103" s="10">
        <v>85</v>
      </c>
      <c r="C103" s="10" t="str">
        <f>$C$7</f>
        <v>T5</v>
      </c>
      <c r="D103" s="10" t="str">
        <f>VLOOKUP(A103,Players!$A$2:$D$491,2,FALSE)</f>
        <v xml:space="preserve"> </v>
      </c>
      <c r="E103" s="10" t="str">
        <f>VLOOKUP(A103,Players!$A$2:$D$491,3,FALSE)</f>
        <v xml:space="preserve"> </v>
      </c>
      <c r="F103" s="10" t="str">
        <f>VLOOKUP(A103,Players!$A$2:$D$491,4,FALSE)</f>
        <v xml:space="preserve"> </v>
      </c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</row>
    <row r="104" spans="1:145">
      <c r="A104" s="9">
        <v>9999</v>
      </c>
      <c r="B104" s="10">
        <v>86</v>
      </c>
      <c r="C104" s="10" t="str">
        <f>$C$8</f>
        <v>T6</v>
      </c>
      <c r="D104" s="10" t="str">
        <f>VLOOKUP(A104,Players!$A$2:$D$491,2,FALSE)</f>
        <v xml:space="preserve"> </v>
      </c>
      <c r="E104" s="10" t="str">
        <f>VLOOKUP(A104,Players!$A$2:$D$491,3,FALSE)</f>
        <v xml:space="preserve"> </v>
      </c>
      <c r="F104" s="10" t="str">
        <f>VLOOKUP(A104,Players!$A$2:$D$491,4,FALSE)</f>
        <v xml:space="preserve"> </v>
      </c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</row>
    <row r="105" spans="1:145">
      <c r="A105" s="9">
        <v>9999</v>
      </c>
      <c r="B105" s="10">
        <v>87</v>
      </c>
      <c r="C105" s="10" t="str">
        <f>$C$9</f>
        <v>T7</v>
      </c>
      <c r="D105" s="10" t="str">
        <f>VLOOKUP(A105,Players!$A$2:$D$491,2,FALSE)</f>
        <v xml:space="preserve"> </v>
      </c>
      <c r="E105" s="10" t="str">
        <f>VLOOKUP(A105,Players!$A$2:$D$491,3,FALSE)</f>
        <v xml:space="preserve"> </v>
      </c>
      <c r="F105" s="10" t="str">
        <f>VLOOKUP(A105,Players!$A$2:$D$491,4,FALSE)</f>
        <v xml:space="preserve"> </v>
      </c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</row>
    <row r="106" spans="1:145">
      <c r="A106" s="9">
        <v>9999</v>
      </c>
      <c r="B106" s="10">
        <v>88</v>
      </c>
      <c r="C106" s="10" t="str">
        <f>$C$10</f>
        <v>T8</v>
      </c>
      <c r="D106" s="10" t="str">
        <f>VLOOKUP(A106,Players!$A$2:$D$491,2,FALSE)</f>
        <v xml:space="preserve"> </v>
      </c>
      <c r="E106" s="10" t="str">
        <f>VLOOKUP(A106,Players!$A$2:$D$491,3,FALSE)</f>
        <v xml:space="preserve"> </v>
      </c>
      <c r="F106" s="10" t="str">
        <f>VLOOKUP(A106,Players!$A$2:$D$491,4,FALSE)</f>
        <v xml:space="preserve"> </v>
      </c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</row>
    <row r="107" spans="1:145">
      <c r="A107" s="9">
        <v>9999</v>
      </c>
      <c r="B107" s="10">
        <v>89</v>
      </c>
      <c r="C107" s="10" t="str">
        <f>$C$11</f>
        <v>T9</v>
      </c>
      <c r="D107" s="10" t="str">
        <f>VLOOKUP(A107,Players!$A$2:$D$491,2,FALSE)</f>
        <v xml:space="preserve"> </v>
      </c>
      <c r="E107" s="10" t="str">
        <f>VLOOKUP(A107,Players!$A$2:$D$491,3,FALSE)</f>
        <v xml:space="preserve"> </v>
      </c>
      <c r="F107" s="10" t="str">
        <f>VLOOKUP(A107,Players!$A$2:$D$491,4,FALSE)</f>
        <v xml:space="preserve"> </v>
      </c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</row>
    <row r="108" spans="1:145">
      <c r="A108" s="9">
        <v>9999</v>
      </c>
      <c r="B108" s="10">
        <v>90</v>
      </c>
      <c r="C108" s="10" t="str">
        <f>$C$12</f>
        <v>T10</v>
      </c>
      <c r="D108" s="10" t="str">
        <f>VLOOKUP(A108,Players!$A$2:$D$491,2,FALSE)</f>
        <v xml:space="preserve"> </v>
      </c>
      <c r="E108" s="10" t="str">
        <f>VLOOKUP(A108,Players!$A$2:$D$491,3,FALSE)</f>
        <v xml:space="preserve"> </v>
      </c>
      <c r="F108" s="10" t="str">
        <f>VLOOKUP(A108,Players!$A$2:$D$491,4,FALSE)</f>
        <v xml:space="preserve"> </v>
      </c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</row>
    <row r="109" spans="1:145" ht="30">
      <c r="A109" s="30" t="s">
        <v>138</v>
      </c>
      <c r="B109" s="30"/>
      <c r="C109" s="30"/>
      <c r="D109" s="30"/>
      <c r="E109" s="30"/>
      <c r="F109" s="30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</row>
    <row r="110" spans="1:145">
      <c r="A110" s="19"/>
      <c r="B110" s="19" t="s">
        <v>18</v>
      </c>
      <c r="C110" s="19" t="s">
        <v>19</v>
      </c>
      <c r="D110" s="19" t="s">
        <v>1</v>
      </c>
      <c r="E110" s="19" t="s">
        <v>2</v>
      </c>
      <c r="F110" s="19" t="s">
        <v>3</v>
      </c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</row>
    <row r="111" spans="1:145">
      <c r="A111" s="9">
        <v>9999</v>
      </c>
      <c r="B111" s="10">
        <v>91</v>
      </c>
      <c r="C111" s="10" t="str">
        <f>$C$12</f>
        <v>T10</v>
      </c>
      <c r="D111" s="10" t="str">
        <f>VLOOKUP(A111,Players!$A$2:$D$491,2,FALSE)</f>
        <v xml:space="preserve"> </v>
      </c>
      <c r="E111" s="10" t="str">
        <f>VLOOKUP(A111,Players!$A$2:$D$491,3,FALSE)</f>
        <v xml:space="preserve"> </v>
      </c>
      <c r="F111" s="10" t="str">
        <f>VLOOKUP(A111,Players!$A$2:$D$491,4,FALSE)</f>
        <v xml:space="preserve"> </v>
      </c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</row>
    <row r="112" spans="1:145">
      <c r="A112" s="9">
        <v>9999</v>
      </c>
      <c r="B112" s="10">
        <v>92</v>
      </c>
      <c r="C112" s="10" t="str">
        <f>$C$11</f>
        <v>T9</v>
      </c>
      <c r="D112" s="10" t="str">
        <f>VLOOKUP(A112,Players!$A$2:$D$491,2,FALSE)</f>
        <v xml:space="preserve"> </v>
      </c>
      <c r="E112" s="10" t="str">
        <f>VLOOKUP(A112,Players!$A$2:$D$491,3,FALSE)</f>
        <v xml:space="preserve"> </v>
      </c>
      <c r="F112" s="10" t="str">
        <f>VLOOKUP(A112,Players!$A$2:$D$491,4,FALSE)</f>
        <v xml:space="preserve"> </v>
      </c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</row>
    <row r="113" spans="1:145">
      <c r="A113" s="9">
        <v>9999</v>
      </c>
      <c r="B113" s="10">
        <v>93</v>
      </c>
      <c r="C113" s="10" t="str">
        <f>$C$10</f>
        <v>T8</v>
      </c>
      <c r="D113" s="10" t="str">
        <f>VLOOKUP(A113,Players!$A$2:$D$491,2,FALSE)</f>
        <v xml:space="preserve"> </v>
      </c>
      <c r="E113" s="10" t="str">
        <f>VLOOKUP(A113,Players!$A$2:$D$491,3,FALSE)</f>
        <v xml:space="preserve"> </v>
      </c>
      <c r="F113" s="10" t="str">
        <f>VLOOKUP(A113,Players!$A$2:$D$491,4,FALSE)</f>
        <v xml:space="preserve"> </v>
      </c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</row>
    <row r="114" spans="1:145">
      <c r="A114" s="9">
        <v>9999</v>
      </c>
      <c r="B114" s="10">
        <v>94</v>
      </c>
      <c r="C114" s="10" t="str">
        <f>$C$9</f>
        <v>T7</v>
      </c>
      <c r="D114" s="10" t="str">
        <f>VLOOKUP(A114,Players!$A$2:$D$491,2,FALSE)</f>
        <v xml:space="preserve"> </v>
      </c>
      <c r="E114" s="10" t="str">
        <f>VLOOKUP(A114,Players!$A$2:$D$491,3,FALSE)</f>
        <v xml:space="preserve"> </v>
      </c>
      <c r="F114" s="10" t="str">
        <f>VLOOKUP(A114,Players!$A$2:$D$491,4,FALSE)</f>
        <v xml:space="preserve"> </v>
      </c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</row>
    <row r="115" spans="1:145">
      <c r="A115" s="9">
        <v>9999</v>
      </c>
      <c r="B115" s="10">
        <v>95</v>
      </c>
      <c r="C115" s="10" t="str">
        <f>$C$8</f>
        <v>T6</v>
      </c>
      <c r="D115" s="10" t="str">
        <f>VLOOKUP(A115,Players!$A$2:$D$491,2,FALSE)</f>
        <v xml:space="preserve"> </v>
      </c>
      <c r="E115" s="10" t="str">
        <f>VLOOKUP(A115,Players!$A$2:$D$491,3,FALSE)</f>
        <v xml:space="preserve"> </v>
      </c>
      <c r="F115" s="10" t="str">
        <f>VLOOKUP(A115,Players!$A$2:$D$491,4,FALSE)</f>
        <v xml:space="preserve"> </v>
      </c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</row>
    <row r="116" spans="1:145">
      <c r="A116" s="9">
        <v>9999</v>
      </c>
      <c r="B116" s="10">
        <v>96</v>
      </c>
      <c r="C116" s="10" t="str">
        <f>$C$7</f>
        <v>T5</v>
      </c>
      <c r="D116" s="10" t="str">
        <f>VLOOKUP(A116,Players!$A$2:$D$491,2,FALSE)</f>
        <v xml:space="preserve"> </v>
      </c>
      <c r="E116" s="10" t="str">
        <f>VLOOKUP(A116,Players!$A$2:$D$491,3,FALSE)</f>
        <v xml:space="preserve"> </v>
      </c>
      <c r="F116" s="10" t="str">
        <f>VLOOKUP(A116,Players!$A$2:$D$491,4,FALSE)</f>
        <v xml:space="preserve"> </v>
      </c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1:145">
      <c r="A117" s="9">
        <v>9999</v>
      </c>
      <c r="B117" s="10">
        <v>97</v>
      </c>
      <c r="C117" s="10" t="str">
        <f>$C$6</f>
        <v>T4</v>
      </c>
      <c r="D117" s="10" t="str">
        <f>VLOOKUP(A117,Players!$A$2:$D$491,2,FALSE)</f>
        <v xml:space="preserve"> </v>
      </c>
      <c r="E117" s="10" t="str">
        <f>VLOOKUP(A117,Players!$A$2:$D$491,3,FALSE)</f>
        <v xml:space="preserve"> </v>
      </c>
      <c r="F117" s="10" t="str">
        <f>VLOOKUP(A117,Players!$A$2:$D$491,4,FALSE)</f>
        <v xml:space="preserve"> </v>
      </c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1:145">
      <c r="A118" s="9">
        <v>9999</v>
      </c>
      <c r="B118" s="10">
        <v>98</v>
      </c>
      <c r="C118" s="10" t="str">
        <f>$C$5</f>
        <v>T3</v>
      </c>
      <c r="D118" s="10" t="str">
        <f>VLOOKUP(A118,Players!$A$2:$D$491,2,FALSE)</f>
        <v xml:space="preserve"> </v>
      </c>
      <c r="E118" s="10" t="str">
        <f>VLOOKUP(A118,Players!$A$2:$D$491,3,FALSE)</f>
        <v xml:space="preserve"> </v>
      </c>
      <c r="F118" s="10" t="str">
        <f>VLOOKUP(A118,Players!$A$2:$D$491,4,FALSE)</f>
        <v xml:space="preserve"> </v>
      </c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1:145">
      <c r="A119" s="9">
        <v>9999</v>
      </c>
      <c r="B119" s="10">
        <v>99</v>
      </c>
      <c r="C119" s="10" t="str">
        <f>$C$4</f>
        <v>T2</v>
      </c>
      <c r="D119" s="10" t="str">
        <f>VLOOKUP(A119,Players!$A$2:$D$491,2,FALSE)</f>
        <v xml:space="preserve"> </v>
      </c>
      <c r="E119" s="10" t="str">
        <f>VLOOKUP(A119,Players!$A$2:$D$491,3,FALSE)</f>
        <v xml:space="preserve"> </v>
      </c>
      <c r="F119" s="10" t="str">
        <f>VLOOKUP(A119,Players!$A$2:$D$491,4,FALSE)</f>
        <v xml:space="preserve"> </v>
      </c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1:145">
      <c r="A120" s="9">
        <v>9999</v>
      </c>
      <c r="B120" s="10">
        <v>100</v>
      </c>
      <c r="C120" s="10" t="str">
        <f>$C$3</f>
        <v>T1</v>
      </c>
      <c r="D120" s="10" t="str">
        <f>VLOOKUP(A120,Players!$A$2:$D$491,2,FALSE)</f>
        <v xml:space="preserve"> </v>
      </c>
      <c r="E120" s="10" t="str">
        <f>VLOOKUP(A120,Players!$A$2:$D$491,3,FALSE)</f>
        <v xml:space="preserve"> </v>
      </c>
      <c r="F120" s="10" t="str">
        <f>VLOOKUP(A120,Players!$A$2:$D$491,4,FALSE)</f>
        <v xml:space="preserve"> </v>
      </c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1:145" ht="30">
      <c r="A121" s="30" t="s">
        <v>139</v>
      </c>
      <c r="B121" s="30"/>
      <c r="C121" s="30"/>
      <c r="D121" s="30"/>
      <c r="E121" s="30"/>
      <c r="F121" s="30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1:145">
      <c r="A122" s="19"/>
      <c r="B122" s="19" t="s">
        <v>18</v>
      </c>
      <c r="C122" s="19" t="s">
        <v>19</v>
      </c>
      <c r="D122" s="19" t="s">
        <v>1</v>
      </c>
      <c r="E122" s="19" t="s">
        <v>2</v>
      </c>
      <c r="F122" s="19" t="s">
        <v>3</v>
      </c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1:145">
      <c r="A123" s="9">
        <v>9999</v>
      </c>
      <c r="B123" s="10">
        <v>101</v>
      </c>
      <c r="C123" s="10" t="str">
        <f>$C$3</f>
        <v>T1</v>
      </c>
      <c r="D123" s="10" t="str">
        <f>VLOOKUP(A123,Players!$A$2:$D$491,2,FALSE)</f>
        <v xml:space="preserve"> </v>
      </c>
      <c r="E123" s="10" t="str">
        <f>VLOOKUP(A123,Players!$A$2:$D$491,3,FALSE)</f>
        <v xml:space="preserve"> </v>
      </c>
      <c r="F123" s="10" t="str">
        <f>VLOOKUP(A123,Players!$A$2:$D$491,4,FALSE)</f>
        <v xml:space="preserve"> </v>
      </c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1:145">
      <c r="A124" s="9">
        <v>9999</v>
      </c>
      <c r="B124" s="10">
        <v>102</v>
      </c>
      <c r="C124" s="10" t="str">
        <f>$C$4</f>
        <v>T2</v>
      </c>
      <c r="D124" s="10" t="str">
        <f>VLOOKUP(A124,Players!$A$2:$D$491,2,FALSE)</f>
        <v xml:space="preserve"> </v>
      </c>
      <c r="E124" s="10" t="str">
        <f>VLOOKUP(A124,Players!$A$2:$D$491,3,FALSE)</f>
        <v xml:space="preserve"> </v>
      </c>
      <c r="F124" s="10" t="str">
        <f>VLOOKUP(A124,Players!$A$2:$D$491,4,FALSE)</f>
        <v xml:space="preserve"> </v>
      </c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1:145">
      <c r="A125" s="9">
        <v>9999</v>
      </c>
      <c r="B125" s="10">
        <v>103</v>
      </c>
      <c r="C125" s="10" t="str">
        <f>$C$5</f>
        <v>T3</v>
      </c>
      <c r="D125" s="10" t="str">
        <f>VLOOKUP(A125,Players!$A$2:$D$491,2,FALSE)</f>
        <v xml:space="preserve"> </v>
      </c>
      <c r="E125" s="10" t="str">
        <f>VLOOKUP(A125,Players!$A$2:$D$491,3,FALSE)</f>
        <v xml:space="preserve"> </v>
      </c>
      <c r="F125" s="10" t="str">
        <f>VLOOKUP(A125,Players!$A$2:$D$491,4,FALSE)</f>
        <v xml:space="preserve"> </v>
      </c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1:145">
      <c r="A126" s="9">
        <v>9999</v>
      </c>
      <c r="B126" s="10">
        <v>104</v>
      </c>
      <c r="C126" s="10" t="str">
        <f>$C$6</f>
        <v>T4</v>
      </c>
      <c r="D126" s="10" t="str">
        <f>VLOOKUP(A126,Players!$A$2:$D$491,2,FALSE)</f>
        <v xml:space="preserve"> </v>
      </c>
      <c r="E126" s="10" t="str">
        <f>VLOOKUP(A126,Players!$A$2:$D$491,3,FALSE)</f>
        <v xml:space="preserve"> </v>
      </c>
      <c r="F126" s="10" t="str">
        <f>VLOOKUP(A126,Players!$A$2:$D$491,4,FALSE)</f>
        <v xml:space="preserve"> </v>
      </c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1:145">
      <c r="A127" s="9">
        <v>9999</v>
      </c>
      <c r="B127" s="10">
        <v>105</v>
      </c>
      <c r="C127" s="10" t="str">
        <f>$C$7</f>
        <v>T5</v>
      </c>
      <c r="D127" s="10" t="str">
        <f>VLOOKUP(A127,Players!$A$2:$D$491,2,FALSE)</f>
        <v xml:space="preserve"> </v>
      </c>
      <c r="E127" s="10" t="str">
        <f>VLOOKUP(A127,Players!$A$2:$D$491,3,FALSE)</f>
        <v xml:space="preserve"> </v>
      </c>
      <c r="F127" s="10" t="str">
        <f>VLOOKUP(A127,Players!$A$2:$D$491,4,FALSE)</f>
        <v xml:space="preserve"> </v>
      </c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1:145">
      <c r="A128" s="9">
        <v>9999</v>
      </c>
      <c r="B128" s="10">
        <v>106</v>
      </c>
      <c r="C128" s="10" t="str">
        <f>$C$8</f>
        <v>T6</v>
      </c>
      <c r="D128" s="10" t="str">
        <f>VLOOKUP(A128,Players!$A$2:$D$491,2,FALSE)</f>
        <v xml:space="preserve"> </v>
      </c>
      <c r="E128" s="10" t="str">
        <f>VLOOKUP(A128,Players!$A$2:$D$491,3,FALSE)</f>
        <v xml:space="preserve"> </v>
      </c>
      <c r="F128" s="10" t="str">
        <f>VLOOKUP(A128,Players!$A$2:$D$491,4,FALSE)</f>
        <v xml:space="preserve"> </v>
      </c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1:45">
      <c r="A129" s="9">
        <v>9999</v>
      </c>
      <c r="B129" s="10">
        <v>107</v>
      </c>
      <c r="C129" s="10" t="str">
        <f>$C$9</f>
        <v>T7</v>
      </c>
      <c r="D129" s="10" t="str">
        <f>VLOOKUP(A129,Players!$A$2:$D$491,2,FALSE)</f>
        <v xml:space="preserve"> </v>
      </c>
      <c r="E129" s="10" t="str">
        <f>VLOOKUP(A129,Players!$A$2:$D$491,3,FALSE)</f>
        <v xml:space="preserve"> </v>
      </c>
      <c r="F129" s="10" t="str">
        <f>VLOOKUP(A129,Players!$A$2:$D$491,4,FALSE)</f>
        <v xml:space="preserve"> </v>
      </c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1:45">
      <c r="A130" s="9">
        <v>9999</v>
      </c>
      <c r="B130" s="10">
        <v>108</v>
      </c>
      <c r="C130" s="10" t="str">
        <f>$C$10</f>
        <v>T8</v>
      </c>
      <c r="D130" s="10" t="str">
        <f>VLOOKUP(A130,Players!$A$2:$D$491,2,FALSE)</f>
        <v xml:space="preserve"> </v>
      </c>
      <c r="E130" s="10" t="str">
        <f>VLOOKUP(A130,Players!$A$2:$D$491,3,FALSE)</f>
        <v xml:space="preserve"> </v>
      </c>
      <c r="F130" s="10" t="str">
        <f>VLOOKUP(A130,Players!$A$2:$D$491,4,FALSE)</f>
        <v xml:space="preserve"> </v>
      </c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1:45">
      <c r="A131" s="9">
        <v>9999</v>
      </c>
      <c r="B131" s="10">
        <v>109</v>
      </c>
      <c r="C131" s="10" t="str">
        <f>$C$11</f>
        <v>T9</v>
      </c>
      <c r="D131" s="10" t="str">
        <f>VLOOKUP(A131,Players!$A$2:$D$491,2,FALSE)</f>
        <v xml:space="preserve"> </v>
      </c>
      <c r="E131" s="10" t="str">
        <f>VLOOKUP(A131,Players!$A$2:$D$491,3,FALSE)</f>
        <v xml:space="preserve"> </v>
      </c>
      <c r="F131" s="10" t="str">
        <f>VLOOKUP(A131,Players!$A$2:$D$491,4,FALSE)</f>
        <v xml:space="preserve"> </v>
      </c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1:45">
      <c r="A132" s="9">
        <v>9999</v>
      </c>
      <c r="B132" s="10">
        <v>110</v>
      </c>
      <c r="C132" s="10" t="str">
        <f>$C$12</f>
        <v>T10</v>
      </c>
      <c r="D132" s="10" t="str">
        <f>VLOOKUP(A132,Players!$A$2:$D$491,2,FALSE)</f>
        <v xml:space="preserve"> </v>
      </c>
      <c r="E132" s="10" t="str">
        <f>VLOOKUP(A132,Players!$A$2:$D$491,3,FALSE)</f>
        <v xml:space="preserve"> </v>
      </c>
      <c r="F132" s="10" t="str">
        <f>VLOOKUP(A132,Players!$A$2:$D$491,4,FALSE)</f>
        <v xml:space="preserve"> </v>
      </c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1:45" ht="30">
      <c r="A133" s="30" t="s">
        <v>140</v>
      </c>
      <c r="B133" s="30"/>
      <c r="C133" s="30"/>
      <c r="D133" s="30"/>
      <c r="E133" s="30"/>
      <c r="F133" s="30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1:45">
      <c r="A134" s="19"/>
      <c r="B134" s="19" t="s">
        <v>18</v>
      </c>
      <c r="C134" s="19" t="s">
        <v>19</v>
      </c>
      <c r="D134" s="19" t="s">
        <v>1</v>
      </c>
      <c r="E134" s="19" t="s">
        <v>2</v>
      </c>
      <c r="F134" s="19" t="s">
        <v>3</v>
      </c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1:45">
      <c r="A135" s="9">
        <v>9999</v>
      </c>
      <c r="B135" s="10">
        <v>111</v>
      </c>
      <c r="C135" s="10" t="str">
        <f>$C$12</f>
        <v>T10</v>
      </c>
      <c r="D135" s="10" t="str">
        <f>VLOOKUP(A135,Players!$A$2:$D$491,2,FALSE)</f>
        <v xml:space="preserve"> </v>
      </c>
      <c r="E135" s="10" t="str">
        <f>VLOOKUP(A135,Players!$A$2:$D$491,3,FALSE)</f>
        <v xml:space="preserve"> </v>
      </c>
      <c r="F135" s="10" t="str">
        <f>VLOOKUP(A135,Players!$A$2:$D$491,4,FALSE)</f>
        <v xml:space="preserve"> </v>
      </c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1:45">
      <c r="A136" s="9">
        <v>9999</v>
      </c>
      <c r="B136" s="10">
        <v>112</v>
      </c>
      <c r="C136" s="10" t="str">
        <f>$C$11</f>
        <v>T9</v>
      </c>
      <c r="D136" s="10" t="str">
        <f>VLOOKUP(A136,Players!$A$2:$D$491,2,FALSE)</f>
        <v xml:space="preserve"> </v>
      </c>
      <c r="E136" s="10" t="str">
        <f>VLOOKUP(A136,Players!$A$2:$D$491,3,FALSE)</f>
        <v xml:space="preserve"> </v>
      </c>
      <c r="F136" s="10" t="str">
        <f>VLOOKUP(A136,Players!$A$2:$D$491,4,FALSE)</f>
        <v xml:space="preserve"> </v>
      </c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1:45">
      <c r="A137" s="9">
        <v>9999</v>
      </c>
      <c r="B137" s="10">
        <v>113</v>
      </c>
      <c r="C137" s="10" t="str">
        <f>$C$10</f>
        <v>T8</v>
      </c>
      <c r="D137" s="10" t="str">
        <f>VLOOKUP(A137,Players!$A$2:$D$491,2,FALSE)</f>
        <v xml:space="preserve"> </v>
      </c>
      <c r="E137" s="10" t="str">
        <f>VLOOKUP(A137,Players!$A$2:$D$491,3,FALSE)</f>
        <v xml:space="preserve"> </v>
      </c>
      <c r="F137" s="10" t="str">
        <f>VLOOKUP(A137,Players!$A$2:$D$491,4,FALSE)</f>
        <v xml:space="preserve"> </v>
      </c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1:45">
      <c r="A138" s="9">
        <v>9999</v>
      </c>
      <c r="B138" s="10">
        <v>114</v>
      </c>
      <c r="C138" s="10" t="str">
        <f>$C$9</f>
        <v>T7</v>
      </c>
      <c r="D138" s="10" t="str">
        <f>VLOOKUP(A138,Players!$A$2:$D$491,2,FALSE)</f>
        <v xml:space="preserve"> </v>
      </c>
      <c r="E138" s="10" t="str">
        <f>VLOOKUP(A138,Players!$A$2:$D$491,3,FALSE)</f>
        <v xml:space="preserve"> </v>
      </c>
      <c r="F138" s="10" t="str">
        <f>VLOOKUP(A138,Players!$A$2:$D$491,4,FALSE)</f>
        <v xml:space="preserve"> </v>
      </c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1:45">
      <c r="A139" s="9">
        <v>9999</v>
      </c>
      <c r="B139" s="10">
        <v>115</v>
      </c>
      <c r="C139" s="10" t="str">
        <f>$C$8</f>
        <v>T6</v>
      </c>
      <c r="D139" s="10" t="str">
        <f>VLOOKUP(A139,Players!$A$2:$D$491,2,FALSE)</f>
        <v xml:space="preserve"> </v>
      </c>
      <c r="E139" s="10" t="str">
        <f>VLOOKUP(A139,Players!$A$2:$D$491,3,FALSE)</f>
        <v xml:space="preserve"> </v>
      </c>
      <c r="F139" s="10" t="str">
        <f>VLOOKUP(A139,Players!$A$2:$D$491,4,FALSE)</f>
        <v xml:space="preserve"> </v>
      </c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1:45">
      <c r="A140" s="9">
        <v>9999</v>
      </c>
      <c r="B140" s="10">
        <v>116</v>
      </c>
      <c r="C140" s="10" t="str">
        <f>$C$7</f>
        <v>T5</v>
      </c>
      <c r="D140" s="10" t="str">
        <f>VLOOKUP(A140,Players!$A$2:$D$491,2,FALSE)</f>
        <v xml:space="preserve"> </v>
      </c>
      <c r="E140" s="10" t="str">
        <f>VLOOKUP(A140,Players!$A$2:$D$491,3,FALSE)</f>
        <v xml:space="preserve"> </v>
      </c>
      <c r="F140" s="10" t="str">
        <f>VLOOKUP(A140,Players!$A$2:$D$491,4,FALSE)</f>
        <v xml:space="preserve"> </v>
      </c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1:45">
      <c r="A141" s="9">
        <v>9999</v>
      </c>
      <c r="B141" s="10">
        <v>117</v>
      </c>
      <c r="C141" s="10" t="str">
        <f>$C$6</f>
        <v>T4</v>
      </c>
      <c r="D141" s="10" t="str">
        <f>VLOOKUP(A141,Players!$A$2:$D$491,2,FALSE)</f>
        <v xml:space="preserve"> </v>
      </c>
      <c r="E141" s="10" t="str">
        <f>VLOOKUP(A141,Players!$A$2:$D$491,3,FALSE)</f>
        <v xml:space="preserve"> </v>
      </c>
      <c r="F141" s="10" t="str">
        <f>VLOOKUP(A141,Players!$A$2:$D$491,4,FALSE)</f>
        <v xml:space="preserve"> </v>
      </c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1:45">
      <c r="A142" s="9">
        <v>9999</v>
      </c>
      <c r="B142" s="10">
        <v>118</v>
      </c>
      <c r="C142" s="10" t="str">
        <f>$C$5</f>
        <v>T3</v>
      </c>
      <c r="D142" s="10" t="str">
        <f>VLOOKUP(A142,Players!$A$2:$D$491,2,FALSE)</f>
        <v xml:space="preserve"> </v>
      </c>
      <c r="E142" s="10" t="str">
        <f>VLOOKUP(A142,Players!$A$2:$D$491,3,FALSE)</f>
        <v xml:space="preserve"> </v>
      </c>
      <c r="F142" s="10" t="str">
        <f>VLOOKUP(A142,Players!$A$2:$D$491,4,FALSE)</f>
        <v xml:space="preserve"> </v>
      </c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1:45">
      <c r="A143" s="9">
        <v>9999</v>
      </c>
      <c r="B143" s="10">
        <v>119</v>
      </c>
      <c r="C143" s="10" t="str">
        <f>$C$4</f>
        <v>T2</v>
      </c>
      <c r="D143" s="10" t="str">
        <f>VLOOKUP(A143,Players!$A$2:$D$491,2,FALSE)</f>
        <v xml:space="preserve"> </v>
      </c>
      <c r="E143" s="10" t="str">
        <f>VLOOKUP(A143,Players!$A$2:$D$491,3,FALSE)</f>
        <v xml:space="preserve"> </v>
      </c>
      <c r="F143" s="10" t="str">
        <f>VLOOKUP(A143,Players!$A$2:$D$491,4,FALSE)</f>
        <v xml:space="preserve"> </v>
      </c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1:45">
      <c r="A144" s="9">
        <v>9999</v>
      </c>
      <c r="B144" s="10">
        <v>120</v>
      </c>
      <c r="C144" s="10" t="str">
        <f>$C$3</f>
        <v>T1</v>
      </c>
      <c r="D144" s="10" t="str">
        <f>VLOOKUP(A144,Players!$A$2:$D$491,2,FALSE)</f>
        <v xml:space="preserve"> </v>
      </c>
      <c r="E144" s="10" t="str">
        <f>VLOOKUP(A144,Players!$A$2:$D$491,3,FALSE)</f>
        <v xml:space="preserve"> </v>
      </c>
      <c r="F144" s="10" t="str">
        <f>VLOOKUP(A144,Players!$A$2:$D$491,4,FALSE)</f>
        <v xml:space="preserve"> </v>
      </c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1:45" ht="30">
      <c r="A145" s="30" t="s">
        <v>141</v>
      </c>
      <c r="B145" s="30"/>
      <c r="C145" s="30"/>
      <c r="D145" s="30"/>
      <c r="E145" s="30"/>
      <c r="F145" s="30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1:45">
      <c r="A146" s="19"/>
      <c r="B146" s="19" t="s">
        <v>18</v>
      </c>
      <c r="C146" s="19" t="s">
        <v>19</v>
      </c>
      <c r="D146" s="19" t="s">
        <v>1</v>
      </c>
      <c r="E146" s="19" t="s">
        <v>2</v>
      </c>
      <c r="F146" s="19" t="s">
        <v>3</v>
      </c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1:45">
      <c r="A147" s="9">
        <v>9999</v>
      </c>
      <c r="B147" s="10">
        <v>121</v>
      </c>
      <c r="C147" s="10" t="str">
        <f>$C$3</f>
        <v>T1</v>
      </c>
      <c r="D147" s="10" t="str">
        <f>VLOOKUP(A147,Players!$A$2:$D$491,2,FALSE)</f>
        <v xml:space="preserve"> </v>
      </c>
      <c r="E147" s="10" t="str">
        <f>VLOOKUP(A147,Players!$A$2:$D$491,3,FALSE)</f>
        <v xml:space="preserve"> </v>
      </c>
      <c r="F147" s="10" t="str">
        <f>VLOOKUP(A147,Players!$A$2:$D$491,4,FALSE)</f>
        <v xml:space="preserve"> </v>
      </c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1:45">
      <c r="A148" s="9">
        <v>9999</v>
      </c>
      <c r="B148" s="10">
        <v>122</v>
      </c>
      <c r="C148" s="10" t="str">
        <f>$C$4</f>
        <v>T2</v>
      </c>
      <c r="D148" s="10" t="str">
        <f>VLOOKUP(A148,Players!$A$2:$D$491,2,FALSE)</f>
        <v xml:space="preserve"> </v>
      </c>
      <c r="E148" s="10" t="str">
        <f>VLOOKUP(A148,Players!$A$2:$D$491,3,FALSE)</f>
        <v xml:space="preserve"> </v>
      </c>
      <c r="F148" s="10" t="str">
        <f>VLOOKUP(A148,Players!$A$2:$D$491,4,FALSE)</f>
        <v xml:space="preserve"> </v>
      </c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1:45">
      <c r="A149" s="9">
        <v>9999</v>
      </c>
      <c r="B149" s="10">
        <v>123</v>
      </c>
      <c r="C149" s="10" t="str">
        <f>$C$5</f>
        <v>T3</v>
      </c>
      <c r="D149" s="10" t="str">
        <f>VLOOKUP(A149,Players!$A$2:$D$491,2,FALSE)</f>
        <v xml:space="preserve"> </v>
      </c>
      <c r="E149" s="10" t="str">
        <f>VLOOKUP(A149,Players!$A$2:$D$491,3,FALSE)</f>
        <v xml:space="preserve"> </v>
      </c>
      <c r="F149" s="10" t="str">
        <f>VLOOKUP(A149,Players!$A$2:$D$491,4,FALSE)</f>
        <v xml:space="preserve"> </v>
      </c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1:45">
      <c r="A150" s="9">
        <v>9999</v>
      </c>
      <c r="B150" s="10">
        <v>124</v>
      </c>
      <c r="C150" s="10" t="str">
        <f>$C$6</f>
        <v>T4</v>
      </c>
      <c r="D150" s="10" t="str">
        <f>VLOOKUP(A150,Players!$A$2:$D$491,2,FALSE)</f>
        <v xml:space="preserve"> </v>
      </c>
      <c r="E150" s="10" t="str">
        <f>VLOOKUP(A150,Players!$A$2:$D$491,3,FALSE)</f>
        <v xml:space="preserve"> </v>
      </c>
      <c r="F150" s="10" t="str">
        <f>VLOOKUP(A150,Players!$A$2:$D$491,4,FALSE)</f>
        <v xml:space="preserve"> </v>
      </c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1:45">
      <c r="A151" s="9">
        <v>9999</v>
      </c>
      <c r="B151" s="10">
        <v>125</v>
      </c>
      <c r="C151" s="10" t="str">
        <f>$C$7</f>
        <v>T5</v>
      </c>
      <c r="D151" s="10" t="str">
        <f>VLOOKUP(A151,Players!$A$2:$D$491,2,FALSE)</f>
        <v xml:space="preserve"> </v>
      </c>
      <c r="E151" s="10" t="str">
        <f>VLOOKUP(A151,Players!$A$2:$D$491,3,FALSE)</f>
        <v xml:space="preserve"> </v>
      </c>
      <c r="F151" s="10" t="str">
        <f>VLOOKUP(A151,Players!$A$2:$D$491,4,FALSE)</f>
        <v xml:space="preserve"> </v>
      </c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1:45">
      <c r="A152" s="9">
        <v>9999</v>
      </c>
      <c r="B152" s="10">
        <v>126</v>
      </c>
      <c r="C152" s="10" t="str">
        <f>$C$8</f>
        <v>T6</v>
      </c>
      <c r="D152" s="10" t="str">
        <f>VLOOKUP(A152,Players!$A$2:$D$491,2,FALSE)</f>
        <v xml:space="preserve"> </v>
      </c>
      <c r="E152" s="10" t="str">
        <f>VLOOKUP(A152,Players!$A$2:$D$491,3,FALSE)</f>
        <v xml:space="preserve"> </v>
      </c>
      <c r="F152" s="10" t="str">
        <f>VLOOKUP(A152,Players!$A$2:$D$491,4,FALSE)</f>
        <v xml:space="preserve"> </v>
      </c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1:45">
      <c r="A153" s="9">
        <v>9999</v>
      </c>
      <c r="B153" s="10">
        <v>127</v>
      </c>
      <c r="C153" s="10" t="str">
        <f>$C$9</f>
        <v>T7</v>
      </c>
      <c r="D153" s="10" t="str">
        <f>VLOOKUP(A153,Players!$A$2:$D$491,2,FALSE)</f>
        <v xml:space="preserve"> </v>
      </c>
      <c r="E153" s="10" t="str">
        <f>VLOOKUP(A153,Players!$A$2:$D$491,3,FALSE)</f>
        <v xml:space="preserve"> </v>
      </c>
      <c r="F153" s="10" t="str">
        <f>VLOOKUP(A153,Players!$A$2:$D$491,4,FALSE)</f>
        <v xml:space="preserve"> </v>
      </c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1:45">
      <c r="A154" s="9">
        <v>9999</v>
      </c>
      <c r="B154" s="10">
        <v>128</v>
      </c>
      <c r="C154" s="10" t="str">
        <f>$C$10</f>
        <v>T8</v>
      </c>
      <c r="D154" s="10" t="str">
        <f>VLOOKUP(A154,Players!$A$2:$D$491,2,FALSE)</f>
        <v xml:space="preserve"> </v>
      </c>
      <c r="E154" s="10" t="str">
        <f>VLOOKUP(A154,Players!$A$2:$D$491,3,FALSE)</f>
        <v xml:space="preserve"> </v>
      </c>
      <c r="F154" s="10" t="str">
        <f>VLOOKUP(A154,Players!$A$2:$D$491,4,FALSE)</f>
        <v xml:space="preserve"> </v>
      </c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1:45">
      <c r="A155" s="9">
        <v>9999</v>
      </c>
      <c r="B155" s="10">
        <v>129</v>
      </c>
      <c r="C155" s="10" t="str">
        <f>$C$11</f>
        <v>T9</v>
      </c>
      <c r="D155" s="10" t="str">
        <f>VLOOKUP(A155,Players!$A$2:$D$491,2,FALSE)</f>
        <v xml:space="preserve"> </v>
      </c>
      <c r="E155" s="10" t="str">
        <f>VLOOKUP(A155,Players!$A$2:$D$491,3,FALSE)</f>
        <v xml:space="preserve"> </v>
      </c>
      <c r="F155" s="10" t="str">
        <f>VLOOKUP(A155,Players!$A$2:$D$491,4,FALSE)</f>
        <v xml:space="preserve"> </v>
      </c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1:45">
      <c r="A156" s="9">
        <v>9999</v>
      </c>
      <c r="B156" s="10">
        <v>130</v>
      </c>
      <c r="C156" s="10" t="str">
        <f>$C$12</f>
        <v>T10</v>
      </c>
      <c r="D156" s="10" t="str">
        <f>VLOOKUP(A156,Players!$A$2:$D$491,2,FALSE)</f>
        <v xml:space="preserve"> </v>
      </c>
      <c r="E156" s="10" t="str">
        <f>VLOOKUP(A156,Players!$A$2:$D$491,3,FALSE)</f>
        <v xml:space="preserve"> </v>
      </c>
      <c r="F156" s="10" t="str">
        <f>VLOOKUP(A156,Players!$A$2:$D$491,4,FALSE)</f>
        <v xml:space="preserve"> </v>
      </c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1:45" ht="30">
      <c r="A157" s="30" t="s">
        <v>142</v>
      </c>
      <c r="B157" s="30"/>
      <c r="C157" s="30"/>
      <c r="D157" s="30"/>
      <c r="E157" s="30"/>
      <c r="F157" s="30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1:45">
      <c r="A158" s="19"/>
      <c r="B158" s="19" t="s">
        <v>18</v>
      </c>
      <c r="C158" s="19" t="s">
        <v>19</v>
      </c>
      <c r="D158" s="19" t="s">
        <v>1</v>
      </c>
      <c r="E158" s="19" t="s">
        <v>2</v>
      </c>
      <c r="F158" s="19" t="s">
        <v>3</v>
      </c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1:45">
      <c r="A159" s="9">
        <v>9999</v>
      </c>
      <c r="B159" s="10">
        <v>131</v>
      </c>
      <c r="C159" s="10" t="str">
        <f>$C$12</f>
        <v>T10</v>
      </c>
      <c r="D159" s="10" t="str">
        <f>VLOOKUP(A159,Players!$A$2:$D$491,2,FALSE)</f>
        <v xml:space="preserve"> </v>
      </c>
      <c r="E159" s="10" t="str">
        <f>VLOOKUP(A159,Players!$A$2:$D$491,3,FALSE)</f>
        <v xml:space="preserve"> </v>
      </c>
      <c r="F159" s="10" t="str">
        <f>VLOOKUP(A159,Players!$A$2:$D$491,4,FALSE)</f>
        <v xml:space="preserve"> </v>
      </c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1:45">
      <c r="A160" s="9">
        <v>9999</v>
      </c>
      <c r="B160" s="10">
        <v>132</v>
      </c>
      <c r="C160" s="10" t="str">
        <f>$C$11</f>
        <v>T9</v>
      </c>
      <c r="D160" s="10" t="str">
        <f>VLOOKUP(A160,Players!$A$2:$D$491,2,FALSE)</f>
        <v xml:space="preserve"> </v>
      </c>
      <c r="E160" s="10" t="str">
        <f>VLOOKUP(A160,Players!$A$2:$D$491,3,FALSE)</f>
        <v xml:space="preserve"> </v>
      </c>
      <c r="F160" s="10" t="str">
        <f>VLOOKUP(A160,Players!$A$2:$D$491,4,FALSE)</f>
        <v xml:space="preserve"> </v>
      </c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1:45">
      <c r="A161" s="9">
        <v>9999</v>
      </c>
      <c r="B161" s="10">
        <v>133</v>
      </c>
      <c r="C161" s="10" t="str">
        <f>$C$10</f>
        <v>T8</v>
      </c>
      <c r="D161" s="10" t="str">
        <f>VLOOKUP(A161,Players!$A$2:$D$491,2,FALSE)</f>
        <v xml:space="preserve"> </v>
      </c>
      <c r="E161" s="10" t="str">
        <f>VLOOKUP(A161,Players!$A$2:$D$491,3,FALSE)</f>
        <v xml:space="preserve"> </v>
      </c>
      <c r="F161" s="10" t="str">
        <f>VLOOKUP(A161,Players!$A$2:$D$491,4,FALSE)</f>
        <v xml:space="preserve"> </v>
      </c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1:45">
      <c r="A162" s="9">
        <v>9999</v>
      </c>
      <c r="B162" s="10">
        <v>134</v>
      </c>
      <c r="C162" s="10" t="str">
        <f>$C$9</f>
        <v>T7</v>
      </c>
      <c r="D162" s="10" t="str">
        <f>VLOOKUP(A162,Players!$A$2:$D$491,2,FALSE)</f>
        <v xml:space="preserve"> </v>
      </c>
      <c r="E162" s="10" t="str">
        <f>VLOOKUP(A162,Players!$A$2:$D$491,3,FALSE)</f>
        <v xml:space="preserve"> </v>
      </c>
      <c r="F162" s="10" t="str">
        <f>VLOOKUP(A162,Players!$A$2:$D$491,4,FALSE)</f>
        <v xml:space="preserve"> </v>
      </c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1:45">
      <c r="A163" s="9">
        <v>9999</v>
      </c>
      <c r="B163" s="10">
        <v>135</v>
      </c>
      <c r="C163" s="10" t="str">
        <f>$C$8</f>
        <v>T6</v>
      </c>
      <c r="D163" s="10" t="str">
        <f>VLOOKUP(A163,Players!$A$2:$D$491,2,FALSE)</f>
        <v xml:space="preserve"> </v>
      </c>
      <c r="E163" s="10" t="str">
        <f>VLOOKUP(A163,Players!$A$2:$D$491,3,FALSE)</f>
        <v xml:space="preserve"> </v>
      </c>
      <c r="F163" s="10" t="str">
        <f>VLOOKUP(A163,Players!$A$2:$D$491,4,FALSE)</f>
        <v xml:space="preserve"> </v>
      </c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1:45">
      <c r="A164" s="9">
        <v>9999</v>
      </c>
      <c r="B164" s="10">
        <v>136</v>
      </c>
      <c r="C164" s="10" t="str">
        <f>$C$7</f>
        <v>T5</v>
      </c>
      <c r="D164" s="10" t="str">
        <f>VLOOKUP(A164,Players!$A$2:$D$491,2,FALSE)</f>
        <v xml:space="preserve"> </v>
      </c>
      <c r="E164" s="10" t="str">
        <f>VLOOKUP(A164,Players!$A$2:$D$491,3,FALSE)</f>
        <v xml:space="preserve"> </v>
      </c>
      <c r="F164" s="10" t="str">
        <f>VLOOKUP(A164,Players!$A$2:$D$491,4,FALSE)</f>
        <v xml:space="preserve"> </v>
      </c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1:45">
      <c r="A165" s="9">
        <v>9999</v>
      </c>
      <c r="B165" s="10">
        <v>137</v>
      </c>
      <c r="C165" s="10" t="str">
        <f>$C$6</f>
        <v>T4</v>
      </c>
      <c r="D165" s="10" t="str">
        <f>VLOOKUP(A165,Players!$A$2:$D$491,2,FALSE)</f>
        <v xml:space="preserve"> </v>
      </c>
      <c r="E165" s="10" t="str">
        <f>VLOOKUP(A165,Players!$A$2:$D$491,3,FALSE)</f>
        <v xml:space="preserve"> </v>
      </c>
      <c r="F165" s="10" t="str">
        <f>VLOOKUP(A165,Players!$A$2:$D$491,4,FALSE)</f>
        <v xml:space="preserve"> </v>
      </c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1:45">
      <c r="A166" s="9">
        <v>9999</v>
      </c>
      <c r="B166" s="10">
        <v>138</v>
      </c>
      <c r="C166" s="10" t="str">
        <f>$C$5</f>
        <v>T3</v>
      </c>
      <c r="D166" s="10" t="str">
        <f>VLOOKUP(A166,Players!$A$2:$D$491,2,FALSE)</f>
        <v xml:space="preserve"> </v>
      </c>
      <c r="E166" s="10" t="str">
        <f>VLOOKUP(A166,Players!$A$2:$D$491,3,FALSE)</f>
        <v xml:space="preserve"> </v>
      </c>
      <c r="F166" s="10" t="str">
        <f>VLOOKUP(A166,Players!$A$2:$D$491,4,FALSE)</f>
        <v xml:space="preserve"> </v>
      </c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1:45">
      <c r="A167" s="9">
        <v>9999</v>
      </c>
      <c r="B167" s="10">
        <v>139</v>
      </c>
      <c r="C167" s="10" t="str">
        <f>$C$4</f>
        <v>T2</v>
      </c>
      <c r="D167" s="10" t="str">
        <f>VLOOKUP(A167,Players!$A$2:$D$491,2,FALSE)</f>
        <v xml:space="preserve"> </v>
      </c>
      <c r="E167" s="10" t="str">
        <f>VLOOKUP(A167,Players!$A$2:$D$491,3,FALSE)</f>
        <v xml:space="preserve"> </v>
      </c>
      <c r="F167" s="10" t="str">
        <f>VLOOKUP(A167,Players!$A$2:$D$491,4,FALSE)</f>
        <v xml:space="preserve"> </v>
      </c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1:45">
      <c r="A168" s="9">
        <v>9999</v>
      </c>
      <c r="B168" s="10">
        <v>140</v>
      </c>
      <c r="C168" s="10" t="str">
        <f>$C$3</f>
        <v>T1</v>
      </c>
      <c r="D168" s="10" t="str">
        <f>VLOOKUP(A168,Players!$A$2:$D$491,2,FALSE)</f>
        <v xml:space="preserve"> </v>
      </c>
      <c r="E168" s="10" t="str">
        <f>VLOOKUP(A168,Players!$A$2:$D$491,3,FALSE)</f>
        <v xml:space="preserve"> </v>
      </c>
      <c r="F168" s="10" t="str">
        <f>VLOOKUP(A168,Players!$A$2:$D$491,4,FALSE)</f>
        <v xml:space="preserve"> </v>
      </c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1:45" ht="30">
      <c r="A169" s="30" t="s">
        <v>143</v>
      </c>
      <c r="B169" s="30"/>
      <c r="C169" s="30"/>
      <c r="D169" s="30"/>
      <c r="E169" s="30"/>
      <c r="F169" s="30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1:45">
      <c r="A170" s="19"/>
      <c r="B170" s="19" t="s">
        <v>18</v>
      </c>
      <c r="C170" s="19" t="s">
        <v>19</v>
      </c>
      <c r="D170" s="19" t="s">
        <v>1</v>
      </c>
      <c r="E170" s="19" t="s">
        <v>2</v>
      </c>
      <c r="F170" s="19" t="s">
        <v>3</v>
      </c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1:45">
      <c r="A171" s="9">
        <v>9999</v>
      </c>
      <c r="B171" s="10">
        <v>141</v>
      </c>
      <c r="C171" s="10" t="str">
        <f>$C$3</f>
        <v>T1</v>
      </c>
      <c r="D171" s="10" t="str">
        <f>VLOOKUP(A171,Players!$A$2:$D$491,2,FALSE)</f>
        <v xml:space="preserve"> </v>
      </c>
      <c r="E171" s="10" t="str">
        <f>VLOOKUP(A171,Players!$A$2:$D$491,3,FALSE)</f>
        <v xml:space="preserve"> </v>
      </c>
      <c r="F171" s="10" t="str">
        <f>VLOOKUP(A171,Players!$A$2:$D$491,4,FALSE)</f>
        <v xml:space="preserve"> </v>
      </c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1:45">
      <c r="A172" s="9">
        <v>9999</v>
      </c>
      <c r="B172" s="10">
        <v>142</v>
      </c>
      <c r="C172" s="10" t="str">
        <f>$C$4</f>
        <v>T2</v>
      </c>
      <c r="D172" s="10" t="str">
        <f>VLOOKUP(A172,Players!$A$2:$D$491,2,FALSE)</f>
        <v xml:space="preserve"> </v>
      </c>
      <c r="E172" s="10" t="str">
        <f>VLOOKUP(A172,Players!$A$2:$D$491,3,FALSE)</f>
        <v xml:space="preserve"> </v>
      </c>
      <c r="F172" s="10" t="str">
        <f>VLOOKUP(A172,Players!$A$2:$D$491,4,FALSE)</f>
        <v xml:space="preserve"> </v>
      </c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1:45">
      <c r="A173" s="9">
        <v>9999</v>
      </c>
      <c r="B173" s="10">
        <v>143</v>
      </c>
      <c r="C173" s="10" t="str">
        <f>$C$5</f>
        <v>T3</v>
      </c>
      <c r="D173" s="10" t="str">
        <f>VLOOKUP(A173,Players!$A$2:$D$491,2,FALSE)</f>
        <v xml:space="preserve"> </v>
      </c>
      <c r="E173" s="10" t="str">
        <f>VLOOKUP(A173,Players!$A$2:$D$491,3,FALSE)</f>
        <v xml:space="preserve"> </v>
      </c>
      <c r="F173" s="10" t="str">
        <f>VLOOKUP(A173,Players!$A$2:$D$491,4,FALSE)</f>
        <v xml:space="preserve"> </v>
      </c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1:45">
      <c r="A174" s="9">
        <v>9999</v>
      </c>
      <c r="B174" s="10">
        <v>144</v>
      </c>
      <c r="C174" s="10" t="str">
        <f>$C$6</f>
        <v>T4</v>
      </c>
      <c r="D174" s="10" t="str">
        <f>VLOOKUP(A174,Players!$A$2:$D$491,2,FALSE)</f>
        <v xml:space="preserve"> </v>
      </c>
      <c r="E174" s="10" t="str">
        <f>VLOOKUP(A174,Players!$A$2:$D$491,3,FALSE)</f>
        <v xml:space="preserve"> </v>
      </c>
      <c r="F174" s="10" t="str">
        <f>VLOOKUP(A174,Players!$A$2:$D$491,4,FALSE)</f>
        <v xml:space="preserve"> </v>
      </c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1:45">
      <c r="A175" s="9">
        <v>9999</v>
      </c>
      <c r="B175" s="10">
        <v>145</v>
      </c>
      <c r="C175" s="10" t="str">
        <f>$C$7</f>
        <v>T5</v>
      </c>
      <c r="D175" s="10" t="str">
        <f>VLOOKUP(A175,Players!$A$2:$D$491,2,FALSE)</f>
        <v xml:space="preserve"> </v>
      </c>
      <c r="E175" s="10" t="str">
        <f>VLOOKUP(A175,Players!$A$2:$D$491,3,FALSE)</f>
        <v xml:space="preserve"> </v>
      </c>
      <c r="F175" s="10" t="str">
        <f>VLOOKUP(A175,Players!$A$2:$D$491,4,FALSE)</f>
        <v xml:space="preserve"> </v>
      </c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1:45">
      <c r="A176" s="9">
        <v>9999</v>
      </c>
      <c r="B176" s="10">
        <v>146</v>
      </c>
      <c r="C176" s="10" t="str">
        <f>$C$8</f>
        <v>T6</v>
      </c>
      <c r="D176" s="10" t="str">
        <f>VLOOKUP(A176,Players!$A$2:$D$491,2,FALSE)</f>
        <v xml:space="preserve"> </v>
      </c>
      <c r="E176" s="10" t="str">
        <f>VLOOKUP(A176,Players!$A$2:$D$491,3,FALSE)</f>
        <v xml:space="preserve"> </v>
      </c>
      <c r="F176" s="10" t="str">
        <f>VLOOKUP(A176,Players!$A$2:$D$491,4,FALSE)</f>
        <v xml:space="preserve"> </v>
      </c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1:45">
      <c r="A177" s="9">
        <v>9999</v>
      </c>
      <c r="B177" s="10">
        <v>147</v>
      </c>
      <c r="C177" s="10" t="str">
        <f>$C$9</f>
        <v>T7</v>
      </c>
      <c r="D177" s="10" t="str">
        <f>VLOOKUP(A177,Players!$A$2:$D$491,2,FALSE)</f>
        <v xml:space="preserve"> </v>
      </c>
      <c r="E177" s="10" t="str">
        <f>VLOOKUP(A177,Players!$A$2:$D$491,3,FALSE)</f>
        <v xml:space="preserve"> </v>
      </c>
      <c r="F177" s="10" t="str">
        <f>VLOOKUP(A177,Players!$A$2:$D$491,4,FALSE)</f>
        <v xml:space="preserve"> </v>
      </c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1:45">
      <c r="A178" s="9">
        <v>9999</v>
      </c>
      <c r="B178" s="10">
        <v>148</v>
      </c>
      <c r="C178" s="10" t="str">
        <f>$C$10</f>
        <v>T8</v>
      </c>
      <c r="D178" s="10" t="str">
        <f>VLOOKUP(A178,Players!$A$2:$D$491,2,FALSE)</f>
        <v xml:space="preserve"> </v>
      </c>
      <c r="E178" s="10" t="str">
        <f>VLOOKUP(A178,Players!$A$2:$D$491,3,FALSE)</f>
        <v xml:space="preserve"> </v>
      </c>
      <c r="F178" s="10" t="str">
        <f>VLOOKUP(A178,Players!$A$2:$D$491,4,FALSE)</f>
        <v xml:space="preserve"> </v>
      </c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1:45">
      <c r="A179" s="9">
        <v>9999</v>
      </c>
      <c r="B179" s="10">
        <v>149</v>
      </c>
      <c r="C179" s="10" t="str">
        <f>$C$11</f>
        <v>T9</v>
      </c>
      <c r="D179" s="10" t="str">
        <f>VLOOKUP(A179,Players!$A$2:$D$491,2,FALSE)</f>
        <v xml:space="preserve"> </v>
      </c>
      <c r="E179" s="10" t="str">
        <f>VLOOKUP(A179,Players!$A$2:$D$491,3,FALSE)</f>
        <v xml:space="preserve"> </v>
      </c>
      <c r="F179" s="10" t="str">
        <f>VLOOKUP(A179,Players!$A$2:$D$491,4,FALSE)</f>
        <v xml:space="preserve"> </v>
      </c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1:45">
      <c r="A180" s="9">
        <v>9999</v>
      </c>
      <c r="B180" s="10">
        <v>150</v>
      </c>
      <c r="C180" s="10" t="str">
        <f>$C$12</f>
        <v>T10</v>
      </c>
      <c r="D180" s="10" t="str">
        <f>VLOOKUP(A180,Players!$A$2:$D$491,2,FALSE)</f>
        <v xml:space="preserve"> </v>
      </c>
      <c r="E180" s="10" t="str">
        <f>VLOOKUP(A180,Players!$A$2:$D$491,3,FALSE)</f>
        <v xml:space="preserve"> </v>
      </c>
      <c r="F180" s="10" t="str">
        <f>VLOOKUP(A180,Players!$A$2:$D$491,4,FALSE)</f>
        <v xml:space="preserve"> </v>
      </c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1:4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1:4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1:4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1:4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1:4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1:4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1:4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1:4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1:4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1:4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1:4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1:4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1:4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1:4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  <row r="195" spans="1:4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</row>
    <row r="196" spans="1:4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</row>
    <row r="197" spans="1:4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</row>
    <row r="198" spans="1:4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</row>
    <row r="199" spans="1:4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</row>
    <row r="200" spans="1:4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</row>
    <row r="201" spans="1:4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</row>
    <row r="202" spans="1:4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</row>
    <row r="203" spans="1:4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</row>
    <row r="204" spans="1:4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</row>
    <row r="205" spans="1:4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</row>
    <row r="206" spans="1:4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</row>
    <row r="207" spans="1:4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</row>
    <row r="208" spans="1:4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</row>
    <row r="209" spans="1:4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</row>
    <row r="210" spans="1:4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</row>
    <row r="211" spans="1:4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</row>
    <row r="212" spans="1:4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</row>
    <row r="213" spans="1:4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</row>
    <row r="214" spans="1:4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</row>
    <row r="215" spans="1:4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</row>
    <row r="216" spans="1:4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</row>
    <row r="217" spans="1:4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</row>
    <row r="218" spans="1:4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</row>
    <row r="219" spans="1:4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</row>
    <row r="220" spans="1:4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</row>
    <row r="221" spans="1:4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</row>
    <row r="222" spans="1:4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</row>
    <row r="223" spans="1:4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</row>
    <row r="224" spans="1:4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</row>
    <row r="225" spans="1:4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</row>
    <row r="226" spans="1:4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</row>
    <row r="227" spans="1:4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</row>
    <row r="228" spans="1:4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</row>
    <row r="229" spans="1:4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</row>
    <row r="230" spans="1:4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</row>
    <row r="231" spans="1:4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</row>
    <row r="232" spans="1:4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</row>
    <row r="233" spans="1:4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</row>
    <row r="234" spans="1:4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</row>
    <row r="235" spans="1:4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</row>
    <row r="236" spans="1:4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</row>
    <row r="237" spans="1:4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</row>
    <row r="238" spans="1:4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</row>
    <row r="239" spans="1:4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</row>
    <row r="240" spans="1:4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</row>
    <row r="241" spans="1:4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</row>
    <row r="242" spans="1:4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</row>
    <row r="243" spans="1:4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</row>
    <row r="244" spans="1:4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</row>
    <row r="245" spans="1:4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</row>
    <row r="246" spans="1:4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</row>
    <row r="247" spans="1:4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</row>
    <row r="248" spans="1:4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</row>
    <row r="249" spans="1:4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</row>
    <row r="250" spans="1:4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</row>
    <row r="251" spans="1:4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</row>
    <row r="252" spans="1:4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</row>
    <row r="253" spans="1:4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</row>
    <row r="254" spans="1:4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</row>
    <row r="255" spans="1:4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</row>
    <row r="256" spans="1:4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</row>
    <row r="257" spans="1:5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</row>
    <row r="258" spans="1:5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</row>
    <row r="259" spans="1:5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</row>
    <row r="260" spans="1:5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</row>
    <row r="261" spans="1:5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</row>
    <row r="262" spans="1:5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</row>
    <row r="263" spans="1:5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</row>
    <row r="264" spans="1:53"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</row>
    <row r="265" spans="1:53"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</row>
    <row r="266" spans="1:53"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</row>
    <row r="267" spans="1:53"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</row>
    <row r="268" spans="1:53"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</row>
    <row r="269" spans="1:53"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</row>
    <row r="270" spans="1:53"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</row>
    <row r="271" spans="1:53"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</row>
    <row r="272" spans="1:53"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</row>
    <row r="273" spans="11:53"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</row>
    <row r="274" spans="11:53"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</row>
    <row r="275" spans="11:53"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</row>
    <row r="276" spans="11:53"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</row>
    <row r="277" spans="11:53"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</row>
    <row r="278" spans="11:53"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</row>
    <row r="279" spans="11:53"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</row>
    <row r="280" spans="11:53"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</row>
    <row r="281" spans="11:53"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</row>
    <row r="282" spans="11:53"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</row>
    <row r="283" spans="11:53"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</row>
    <row r="284" spans="11:53"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</row>
    <row r="285" spans="11:53"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</row>
    <row r="286" spans="11:53"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</row>
    <row r="287" spans="11:53"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</row>
    <row r="288" spans="11:53"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</row>
    <row r="289" spans="11:53"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</row>
    <row r="290" spans="11:53"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</row>
    <row r="291" spans="11:53"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</row>
    <row r="292" spans="11:53"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</row>
    <row r="293" spans="11:53"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</row>
    <row r="294" spans="11:53"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</row>
    <row r="295" spans="11:53"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</row>
    <row r="296" spans="11:53"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</row>
    <row r="297" spans="11:53"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</row>
    <row r="298" spans="11:53"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</row>
    <row r="299" spans="11:53"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</row>
    <row r="300" spans="11:53"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</row>
    <row r="301" spans="11:53"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</row>
    <row r="302" spans="11:53"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</row>
    <row r="303" spans="11:53"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</row>
    <row r="304" spans="11:53"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</row>
    <row r="305" spans="11:53"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</row>
    <row r="306" spans="11:53"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</row>
    <row r="307" spans="11:53"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</row>
    <row r="308" spans="11:53"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</row>
    <row r="309" spans="11:53"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</row>
    <row r="310" spans="11:53"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</row>
    <row r="311" spans="11:53"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</row>
    <row r="312" spans="11:53"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</row>
    <row r="313" spans="11:53"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</row>
    <row r="314" spans="11:53"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</row>
    <row r="315" spans="11:53"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</row>
    <row r="316" spans="11:53"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</row>
    <row r="317" spans="11:53"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</row>
    <row r="318" spans="11:53"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</row>
    <row r="319" spans="11:53"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</row>
    <row r="320" spans="11:53"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</row>
    <row r="321" spans="11:53"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</row>
    <row r="322" spans="11:53"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</row>
    <row r="323" spans="11:53"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</row>
    <row r="324" spans="11:53"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</row>
    <row r="325" spans="11:53"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</row>
    <row r="326" spans="11:53"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</row>
    <row r="327" spans="11:53"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</row>
    <row r="328" spans="11:53"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</row>
    <row r="329" spans="11:53"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</row>
    <row r="330" spans="11:53"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</row>
    <row r="331" spans="11:53"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</row>
    <row r="332" spans="11:53"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</row>
    <row r="333" spans="11:53"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</row>
    <row r="334" spans="11:53"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</row>
    <row r="335" spans="11:53"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</row>
    <row r="336" spans="11:53"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</row>
    <row r="337" spans="11:53"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</row>
    <row r="338" spans="11:53"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</row>
    <row r="339" spans="11:53"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</row>
    <row r="340" spans="11:53"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</row>
    <row r="341" spans="11:53"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</row>
    <row r="342" spans="11:53"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</row>
    <row r="343" spans="11:53"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</row>
    <row r="344" spans="11:53"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</row>
    <row r="345" spans="11:53"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</row>
    <row r="346" spans="11:53"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</row>
    <row r="347" spans="11:53"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</row>
    <row r="348" spans="11:53"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</row>
    <row r="349" spans="11:53"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</row>
    <row r="350" spans="11:53"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</row>
    <row r="351" spans="11:53"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</row>
    <row r="352" spans="11:53"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</row>
    <row r="353" spans="11:53"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</row>
    <row r="354" spans="11:53"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</row>
    <row r="355" spans="11:53"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</row>
    <row r="356" spans="11:53"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</row>
    <row r="357" spans="11:53"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</row>
    <row r="358" spans="11:53"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</row>
    <row r="359" spans="11:53"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</row>
    <row r="360" spans="11:53"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</row>
    <row r="361" spans="11:53"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</row>
    <row r="362" spans="11:53"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</row>
    <row r="363" spans="11:53"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</row>
    <row r="364" spans="11:53"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</row>
    <row r="365" spans="11:53"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</row>
    <row r="366" spans="11:53"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</row>
    <row r="367" spans="11:53"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</row>
    <row r="368" spans="11:53"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</row>
    <row r="369" spans="11:53"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</row>
    <row r="370" spans="11:53"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</row>
    <row r="371" spans="11:53"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</row>
    <row r="372" spans="11:53"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</row>
    <row r="373" spans="11:53"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</row>
    <row r="374" spans="11:53"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</row>
    <row r="375" spans="11:53"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</row>
    <row r="376" spans="11:53"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</row>
    <row r="377" spans="11:53"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</row>
    <row r="378" spans="11:53"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</row>
    <row r="379" spans="11:53"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</row>
    <row r="380" spans="11:53"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</row>
    <row r="381" spans="11:53"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</row>
    <row r="382" spans="11:53"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</row>
    <row r="383" spans="11:53"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</row>
    <row r="384" spans="11:53"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</row>
    <row r="385" spans="11:53"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</row>
    <row r="386" spans="11:53"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</row>
    <row r="387" spans="11:53"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</row>
    <row r="388" spans="11:53"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</row>
    <row r="389" spans="11:53"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</row>
    <row r="390" spans="11:53"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</row>
    <row r="391" spans="11:53"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</row>
    <row r="392" spans="11:53"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</row>
    <row r="393" spans="11:53"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</row>
    <row r="394" spans="11:53"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</row>
    <row r="395" spans="11:53"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</row>
    <row r="396" spans="11:53"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</row>
  </sheetData>
  <mergeCells count="15">
    <mergeCell ref="A121:F121"/>
    <mergeCell ref="A133:F133"/>
    <mergeCell ref="A145:F145"/>
    <mergeCell ref="A157:F157"/>
    <mergeCell ref="A169:F169"/>
    <mergeCell ref="A61:F61"/>
    <mergeCell ref="A73:F73"/>
    <mergeCell ref="A85:F85"/>
    <mergeCell ref="A97:F97"/>
    <mergeCell ref="A109:F109"/>
    <mergeCell ref="A1:F1"/>
    <mergeCell ref="A13:F13"/>
    <mergeCell ref="A25:F25"/>
    <mergeCell ref="A37:F37"/>
    <mergeCell ref="A49:F49"/>
  </mergeCells>
  <phoneticPr fontId="2" type="noConversion"/>
  <conditionalFormatting sqref="D15:F24 D27:F36 D39:F48 D51:F60 D63:F72 D75:F84 D87:F96 D99:F108 D111:F120 D123:F132 D135:F144 D147:F156 D3:F12">
    <cfRule type="expression" dxfId="3" priority="6">
      <formula>ISERROR(D3)</formula>
    </cfRule>
  </conditionalFormatting>
  <conditionalFormatting sqref="D159:F168 D171:F180">
    <cfRule type="expression" dxfId="2" priority="5">
      <formula>ISERROR(D159)</formula>
    </cfRule>
  </conditionalFormatting>
  <pageMargins left="0.75" right="0.75" top="1" bottom="1" header="0.5" footer="0.5"/>
  <pageSetup orientation="portrait" horizontalDpi="4294967292" verticalDpi="4294967292"/>
  <ignoredErrors>
    <ignoredError sqref="D3:F3 D15:F24 D51:F60 D39:F48 E7:F12 E6:F6 E5:F5 E4" evalError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V24"/>
  <sheetViews>
    <sheetView zoomScale="286" zoomScaleNormal="286" zoomScalePageLayoutView="286" workbookViewId="0"/>
  </sheetViews>
  <sheetFormatPr baseColWidth="10" defaultRowHeight="15" x14ac:dyDescent="0"/>
  <cols>
    <col min="1" max="1" width="24" bestFit="1" customWidth="1"/>
    <col min="2" max="3" width="4.42578125" bestFit="1" customWidth="1"/>
    <col min="4" max="4" width="5" bestFit="1" customWidth="1"/>
    <col min="5" max="5" width="4.140625" bestFit="1" customWidth="1"/>
    <col min="6" max="6" width="3" bestFit="1" customWidth="1"/>
    <col min="7" max="7" width="6.7109375" bestFit="1" customWidth="1"/>
  </cols>
  <sheetData>
    <row r="1" spans="1:22" ht="21">
      <c r="A1" s="25" t="s">
        <v>3</v>
      </c>
      <c r="B1" s="25" t="s">
        <v>4</v>
      </c>
      <c r="C1" s="25" t="s">
        <v>70</v>
      </c>
      <c r="D1" s="25" t="s">
        <v>71</v>
      </c>
      <c r="E1" s="25" t="s">
        <v>72</v>
      </c>
      <c r="F1" s="25" t="s">
        <v>73</v>
      </c>
      <c r="G1" s="25" t="s">
        <v>98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1:22" ht="21">
      <c r="A2" s="17" t="str">
        <f>Draft!C3</f>
        <v>T1</v>
      </c>
      <c r="B2" s="17">
        <f>COUNTIFS(Draft!$C$3:$C$180,'Teams Comp'!$A2,Draft!$E$3:$E$180,"QB")</f>
        <v>0</v>
      </c>
      <c r="C2" s="17">
        <f>COUNTIFS(Draft!$C$3:$C$180,'Teams Comp'!$A2,Draft!$E$3:$E$180,"RB")</f>
        <v>0</v>
      </c>
      <c r="D2" s="17">
        <f>COUNTIFS(Draft!$C$3:$C$180,'Teams Comp'!$A2,Draft!$E$3:$E$180,"WR")</f>
        <v>0</v>
      </c>
      <c r="E2" s="17">
        <f>COUNTIFS(Draft!$C$3:$C$180,'Teams Comp'!$A2,Draft!$E$3:$E$180,"TE")</f>
        <v>0</v>
      </c>
      <c r="F2" s="17">
        <f>COUNTIFS(Draft!$C$3:$C$180,'Teams Comp'!$A2,Draft!$E$3:$E$180,"K")</f>
        <v>0</v>
      </c>
      <c r="G2" s="17">
        <f>COUNTIFS(Draft!$C$3:$C$180,'Teams Comp'!$A2,Draft!$E$3:$E$180,"D/ST")</f>
        <v>0</v>
      </c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ht="21">
      <c r="A3" s="17" t="str">
        <f>Draft!C4</f>
        <v>T2</v>
      </c>
      <c r="B3" s="17">
        <f>COUNTIFS(Draft!$C$3:$C$180,'Teams Comp'!$A3,Draft!$E$3:$E$180,"QB")</f>
        <v>0</v>
      </c>
      <c r="C3" s="17">
        <f>COUNTIFS(Draft!$C$3:$C$180,'Teams Comp'!$A3,Draft!$E$3:$E$180,"RB")</f>
        <v>0</v>
      </c>
      <c r="D3" s="17">
        <f>COUNTIFS(Draft!$C$3:$C$180,'Teams Comp'!$A3,Draft!$E$3:$E$180,"WR")</f>
        <v>0</v>
      </c>
      <c r="E3" s="17">
        <f>COUNTIFS(Draft!$C$3:$C$180,'Teams Comp'!$A3,Draft!$E$3:$E$180,"TE")</f>
        <v>0</v>
      </c>
      <c r="F3" s="17">
        <f>COUNTIFS(Draft!$C$3:$C$180,'Teams Comp'!$A3,Draft!$E$3:$E$180,"K")</f>
        <v>0</v>
      </c>
      <c r="G3" s="17">
        <f>COUNTIFS(Draft!$C$3:$C$180,'Teams Comp'!$A3,Draft!$E$3:$E$180,"D/ST")</f>
        <v>0</v>
      </c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21">
      <c r="A4" s="17" t="str">
        <f>Draft!C5</f>
        <v>T3</v>
      </c>
      <c r="B4" s="17">
        <f>COUNTIFS(Draft!$C$3:$C$180,'Teams Comp'!$A4,Draft!$E$3:$E$180,"QB")</f>
        <v>0</v>
      </c>
      <c r="C4" s="17">
        <f>COUNTIFS(Draft!$C$3:$C$180,'Teams Comp'!$A4,Draft!$E$3:$E$180,"RB")</f>
        <v>0</v>
      </c>
      <c r="D4" s="17">
        <f>COUNTIFS(Draft!$C$3:$C$180,'Teams Comp'!$A4,Draft!$E$3:$E$180,"WR")</f>
        <v>0</v>
      </c>
      <c r="E4" s="17">
        <f>COUNTIFS(Draft!$C$3:$C$180,'Teams Comp'!$A4,Draft!$E$3:$E$180,"TE")</f>
        <v>0</v>
      </c>
      <c r="F4" s="17">
        <f>COUNTIFS(Draft!$C$3:$C$180,'Teams Comp'!$A4,Draft!$E$3:$E$180,"K")</f>
        <v>0</v>
      </c>
      <c r="G4" s="17">
        <f>COUNTIFS(Draft!$C$3:$C$180,'Teams Comp'!$A4,Draft!$E$3:$E$180,"D/ST")</f>
        <v>0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21">
      <c r="A5" s="17" t="str">
        <f>Draft!C6</f>
        <v>T4</v>
      </c>
      <c r="B5" s="17">
        <f>COUNTIFS(Draft!$C$3:$C$180,'Teams Comp'!$A5,Draft!$E$3:$E$180,"QB")</f>
        <v>0</v>
      </c>
      <c r="C5" s="17">
        <f>COUNTIFS(Draft!$C$3:$C$180,'Teams Comp'!$A5,Draft!$E$3:$E$180,"RB")</f>
        <v>0</v>
      </c>
      <c r="D5" s="17">
        <f>COUNTIFS(Draft!$C$3:$C$180,'Teams Comp'!$A5,Draft!$E$3:$E$180,"WR")</f>
        <v>0</v>
      </c>
      <c r="E5" s="17">
        <f>COUNTIFS(Draft!$C$3:$C$180,'Teams Comp'!$A5,Draft!$E$3:$E$180,"TE")</f>
        <v>0</v>
      </c>
      <c r="F5" s="17">
        <f>COUNTIFS(Draft!$C$3:$C$180,'Teams Comp'!$A5,Draft!$E$3:$E$180,"K")</f>
        <v>0</v>
      </c>
      <c r="G5" s="17">
        <f>COUNTIFS(Draft!$C$3:$C$180,'Teams Comp'!$A5,Draft!$E$3:$E$180,"D/ST")</f>
        <v>0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ht="21">
      <c r="A6" s="17" t="str">
        <f>Draft!C7</f>
        <v>T5</v>
      </c>
      <c r="B6" s="17">
        <f>COUNTIFS(Draft!$C$3:$C$180,'Teams Comp'!$A6,Draft!$E$3:$E$180,"QB")</f>
        <v>0</v>
      </c>
      <c r="C6" s="17">
        <f>COUNTIFS(Draft!$C$3:$C$180,'Teams Comp'!$A6,Draft!$E$3:$E$180,"RB")</f>
        <v>0</v>
      </c>
      <c r="D6" s="17">
        <f>COUNTIFS(Draft!$C$3:$C$180,'Teams Comp'!$A6,Draft!$E$3:$E$180,"WR")</f>
        <v>0</v>
      </c>
      <c r="E6" s="17">
        <f>COUNTIFS(Draft!$C$3:$C$180,'Teams Comp'!$A6,Draft!$E$3:$E$180,"TE")</f>
        <v>0</v>
      </c>
      <c r="F6" s="17">
        <f>COUNTIFS(Draft!$C$3:$C$180,'Teams Comp'!$A6,Draft!$E$3:$E$180,"K")</f>
        <v>0</v>
      </c>
      <c r="G6" s="17">
        <f>COUNTIFS(Draft!$C$3:$C$180,'Teams Comp'!$A6,Draft!$E$3:$E$180,"D/ST")</f>
        <v>0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ht="21">
      <c r="A7" s="17" t="str">
        <f>Draft!C8</f>
        <v>T6</v>
      </c>
      <c r="B7" s="17">
        <f>COUNTIFS(Draft!$C$3:$C$180,'Teams Comp'!$A7,Draft!$E$3:$E$180,"QB")</f>
        <v>0</v>
      </c>
      <c r="C7" s="17">
        <f>COUNTIFS(Draft!$C$3:$C$180,'Teams Comp'!$A7,Draft!$E$3:$E$180,"RB")</f>
        <v>0</v>
      </c>
      <c r="D7" s="17">
        <f>COUNTIFS(Draft!$C$3:$C$180,'Teams Comp'!$A7,Draft!$E$3:$E$180,"WR")</f>
        <v>0</v>
      </c>
      <c r="E7" s="17">
        <f>COUNTIFS(Draft!$C$3:$C$180,'Teams Comp'!$A7,Draft!$E$3:$E$180,"TE")</f>
        <v>0</v>
      </c>
      <c r="F7" s="17">
        <f>COUNTIFS(Draft!$C$3:$C$180,'Teams Comp'!$A7,Draft!$E$3:$E$180,"K")</f>
        <v>0</v>
      </c>
      <c r="G7" s="17">
        <f>COUNTIFS(Draft!$C$3:$C$180,'Teams Comp'!$A7,Draft!$E$3:$E$180,"D/ST")</f>
        <v>0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21">
      <c r="A8" s="17" t="str">
        <f>Draft!C9</f>
        <v>T7</v>
      </c>
      <c r="B8" s="17">
        <f>COUNTIFS(Draft!$C$3:$C$180,'Teams Comp'!$A8,Draft!$E$3:$E$180,"QB")</f>
        <v>0</v>
      </c>
      <c r="C8" s="17">
        <f>COUNTIFS(Draft!$C$3:$C$180,'Teams Comp'!$A8,Draft!$E$3:$E$180,"RB")</f>
        <v>0</v>
      </c>
      <c r="D8" s="17">
        <f>COUNTIFS(Draft!$C$3:$C$180,'Teams Comp'!$A8,Draft!$E$3:$E$180,"WR")</f>
        <v>0</v>
      </c>
      <c r="E8" s="17">
        <f>COUNTIFS(Draft!$C$3:$C$180,'Teams Comp'!$A8,Draft!$E$3:$E$180,"TE")</f>
        <v>0</v>
      </c>
      <c r="F8" s="17">
        <f>COUNTIFS(Draft!$C$3:$C$180,'Teams Comp'!$A8,Draft!$E$3:$E$180,"K")</f>
        <v>0</v>
      </c>
      <c r="G8" s="17">
        <f>COUNTIFS(Draft!$C$3:$C$180,'Teams Comp'!$A8,Draft!$E$3:$E$180,"D/ST")</f>
        <v>0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21">
      <c r="A9" s="17" t="str">
        <f>Draft!C10</f>
        <v>T8</v>
      </c>
      <c r="B9" s="17">
        <f>COUNTIFS(Draft!$C$3:$C$180,'Teams Comp'!$A9,Draft!$E$3:$E$180,"QB")</f>
        <v>0</v>
      </c>
      <c r="C9" s="17">
        <f>COUNTIFS(Draft!$C$3:$C$180,'Teams Comp'!$A9,Draft!$E$3:$E$180,"RB")</f>
        <v>0</v>
      </c>
      <c r="D9" s="17">
        <f>COUNTIFS(Draft!$C$3:$C$180,'Teams Comp'!$A9,Draft!$E$3:$E$180,"WR")</f>
        <v>0</v>
      </c>
      <c r="E9" s="17">
        <f>COUNTIFS(Draft!$C$3:$C$180,'Teams Comp'!$A9,Draft!$E$3:$E$180,"TE")</f>
        <v>0</v>
      </c>
      <c r="F9" s="17">
        <f>COUNTIFS(Draft!$C$3:$C$180,'Teams Comp'!$A9,Draft!$E$3:$E$180,"K")</f>
        <v>0</v>
      </c>
      <c r="G9" s="17">
        <f>COUNTIFS(Draft!$C$3:$C$180,'Teams Comp'!$A9,Draft!$E$3:$E$180,"D/ST")</f>
        <v>0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21">
      <c r="A10" s="17" t="str">
        <f>Draft!C11</f>
        <v>T9</v>
      </c>
      <c r="B10" s="17">
        <f>COUNTIFS(Draft!$C$3:$C$180,'Teams Comp'!$A10,Draft!$E$3:$E$180,"QB")</f>
        <v>0</v>
      </c>
      <c r="C10" s="17">
        <f>COUNTIFS(Draft!$C$3:$C$180,'Teams Comp'!$A10,Draft!$E$3:$E$180,"RB")</f>
        <v>0</v>
      </c>
      <c r="D10" s="17">
        <f>COUNTIFS(Draft!$C$3:$C$180,'Teams Comp'!$A10,Draft!$E$3:$E$180,"WR")</f>
        <v>0</v>
      </c>
      <c r="E10" s="17">
        <f>COUNTIFS(Draft!$C$3:$C$180,'Teams Comp'!$A10,Draft!$E$3:$E$180,"TE")</f>
        <v>0</v>
      </c>
      <c r="F10" s="17">
        <f>COUNTIFS(Draft!$C$3:$C$180,'Teams Comp'!$A10,Draft!$E$3:$E$180,"K")</f>
        <v>0</v>
      </c>
      <c r="G10" s="17">
        <f>COUNTIFS(Draft!$C$3:$C$180,'Teams Comp'!$A10,Draft!$E$3:$E$180,"D/ST")</f>
        <v>0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21">
      <c r="A11" s="17" t="str">
        <f>Draft!C12</f>
        <v>T10</v>
      </c>
      <c r="B11" s="17">
        <f>COUNTIFS(Draft!$C$3:$C$180,'Teams Comp'!$A11,Draft!$E$3:$E$180,"QB")</f>
        <v>0</v>
      </c>
      <c r="C11" s="17">
        <f>COUNTIFS(Draft!$C$3:$C$180,'Teams Comp'!$A11,Draft!$E$3:$E$180,"RB")</f>
        <v>0</v>
      </c>
      <c r="D11" s="17">
        <f>COUNTIFS(Draft!$C$3:$C$180,'Teams Comp'!$A11,Draft!$E$3:$E$180,"WR")</f>
        <v>0</v>
      </c>
      <c r="E11" s="17">
        <f>COUNTIFS(Draft!$C$3:$C$180,'Teams Comp'!$A11,Draft!$E$3:$E$180,"TE")</f>
        <v>0</v>
      </c>
      <c r="F11" s="17">
        <f>COUNTIFS(Draft!$C$3:$C$180,'Teams Comp'!$A11,Draft!$E$3:$E$180,"K")</f>
        <v>0</v>
      </c>
      <c r="G11" s="17">
        <f>COUNTIFS(Draft!$C$3:$C$180,'Teams Comp'!$A11,Draft!$E$3:$E$180,"D/ST")</f>
        <v>0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</sheetData>
  <sheetProtection sheet="1" objects="1" scenarios="1" sort="0" autoFilter="0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9" tint="-0.499984740745262"/>
  </sheetPr>
  <dimension ref="A1:R157"/>
  <sheetViews>
    <sheetView zoomScale="200" zoomScaleNormal="200" zoomScalePageLayoutView="200" workbookViewId="0">
      <selection activeCell="B6" sqref="B6"/>
    </sheetView>
  </sheetViews>
  <sheetFormatPr baseColWidth="10" defaultRowHeight="15" x14ac:dyDescent="0"/>
  <cols>
    <col min="1" max="1" width="23.5703125" customWidth="1"/>
    <col min="2" max="2" width="26.140625" bestFit="1" customWidth="1"/>
    <col min="3" max="3" width="14.7109375" bestFit="1" customWidth="1"/>
    <col min="4" max="4" width="17.140625" bestFit="1" customWidth="1"/>
  </cols>
  <sheetData>
    <row r="1" spans="1:18" ht="20">
      <c r="A1" s="23" t="s">
        <v>19</v>
      </c>
      <c r="B1" s="23" t="s">
        <v>1</v>
      </c>
      <c r="C1" s="23" t="s">
        <v>2</v>
      </c>
      <c r="D1" s="23" t="s">
        <v>3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18" ht="20">
      <c r="A2" s="24" t="str">
        <f>Draft!$C$3</f>
        <v>T1</v>
      </c>
      <c r="B2" s="24" t="str">
        <f>Draft!D48</f>
        <v xml:space="preserve"> </v>
      </c>
      <c r="C2" s="24" t="str">
        <f>Draft!E48</f>
        <v xml:space="preserve"> </v>
      </c>
      <c r="D2" s="24" t="str">
        <f>Draft!F48</f>
        <v xml:space="preserve"> 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18" ht="20">
      <c r="A3" s="24" t="str">
        <f>Draft!$C$3</f>
        <v>T1</v>
      </c>
      <c r="B3" s="24" t="str">
        <f>Draft!D99</f>
        <v xml:space="preserve"> </v>
      </c>
      <c r="C3" s="24" t="str">
        <f>Draft!E99</f>
        <v xml:space="preserve"> </v>
      </c>
      <c r="D3" s="24" t="str">
        <f>Draft!F99</f>
        <v xml:space="preserve"> 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18" ht="20">
      <c r="A4" s="24" t="str">
        <f>Draft!$C$3</f>
        <v>T1</v>
      </c>
      <c r="B4" s="24" t="str">
        <f>Draft!D24</f>
        <v xml:space="preserve"> </v>
      </c>
      <c r="C4" s="24" t="str">
        <f>Draft!E24</f>
        <v xml:space="preserve"> </v>
      </c>
      <c r="D4" s="24" t="str">
        <f>Draft!F24</f>
        <v xml:space="preserve"> 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18" ht="20">
      <c r="A5" s="24" t="str">
        <f>Draft!$C$3</f>
        <v>T1</v>
      </c>
      <c r="B5" s="24" t="str">
        <f>Draft!D168</f>
        <v xml:space="preserve"> </v>
      </c>
      <c r="C5" s="24" t="str">
        <f>Draft!E168</f>
        <v xml:space="preserve"> </v>
      </c>
      <c r="D5" s="24" t="str">
        <f>Draft!F168</f>
        <v xml:space="preserve"> 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18" ht="20">
      <c r="A6" s="24" t="str">
        <f>Draft!$C$3</f>
        <v>T1</v>
      </c>
      <c r="B6" s="24" t="str">
        <f>Draft!D96</f>
        <v xml:space="preserve"> </v>
      </c>
      <c r="C6" s="24" t="str">
        <f>Draft!E96</f>
        <v xml:space="preserve"> </v>
      </c>
      <c r="D6" s="24" t="str">
        <f>Draft!F96</f>
        <v xml:space="preserve"> 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ht="20">
      <c r="A7" s="24" t="str">
        <f>Draft!$C$3</f>
        <v>T1</v>
      </c>
      <c r="B7" s="24" t="str">
        <f>Draft!D147</f>
        <v xml:space="preserve"> </v>
      </c>
      <c r="C7" s="24" t="str">
        <f>Draft!E147</f>
        <v xml:space="preserve"> </v>
      </c>
      <c r="D7" s="24" t="str">
        <f>Draft!F147</f>
        <v xml:space="preserve"> 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ht="20">
      <c r="A8" s="24" t="str">
        <f>Draft!$C$3</f>
        <v>T1</v>
      </c>
      <c r="B8" s="24" t="str">
        <f>Draft!D51</f>
        <v xml:space="preserve"> </v>
      </c>
      <c r="C8" s="24" t="str">
        <f>Draft!E51</f>
        <v xml:space="preserve"> </v>
      </c>
      <c r="D8" s="24" t="str">
        <f>Draft!F51</f>
        <v xml:space="preserve"> 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ht="20">
      <c r="A9" s="24" t="str">
        <f>Draft!$C$3</f>
        <v>T1</v>
      </c>
      <c r="B9" s="24" t="str">
        <f>Draft!D75</f>
        <v xml:space="preserve"> </v>
      </c>
      <c r="C9" s="24" t="str">
        <f>Draft!E75</f>
        <v xml:space="preserve"> </v>
      </c>
      <c r="D9" s="24" t="str">
        <f>Draft!F75</f>
        <v xml:space="preserve"> 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ht="20">
      <c r="A10" s="24" t="str">
        <f>Draft!$C$3</f>
        <v>T1</v>
      </c>
      <c r="B10" s="24" t="str">
        <f>Draft!D3</f>
        <v xml:space="preserve"> </v>
      </c>
      <c r="C10" s="24" t="str">
        <f>Draft!E3</f>
        <v xml:space="preserve"> </v>
      </c>
      <c r="D10" s="24" t="str">
        <f>Draft!F3</f>
        <v xml:space="preserve"> 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ht="20">
      <c r="A11" s="24" t="str">
        <f>Draft!$C$3</f>
        <v>T1</v>
      </c>
      <c r="B11" s="24" t="str">
        <f>Draft!D72</f>
        <v xml:space="preserve"> </v>
      </c>
      <c r="C11" s="24" t="str">
        <f>Draft!E72</f>
        <v xml:space="preserve"> </v>
      </c>
      <c r="D11" s="24" t="str">
        <f>Draft!F72</f>
        <v xml:space="preserve"> 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20">
      <c r="A12" s="24" t="str">
        <f>Draft!$C$3</f>
        <v>T1</v>
      </c>
      <c r="B12" s="24" t="str">
        <f>Draft!D171</f>
        <v xml:space="preserve"> </v>
      </c>
      <c r="C12" s="24" t="str">
        <f>Draft!E171</f>
        <v xml:space="preserve"> </v>
      </c>
      <c r="D12" s="24" t="str">
        <f>Draft!F171</f>
        <v xml:space="preserve"> 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</row>
    <row r="13" spans="1:18" ht="20">
      <c r="A13" s="24" t="str">
        <f>Draft!$C$3</f>
        <v>T1</v>
      </c>
      <c r="B13" s="24" t="str">
        <f>Draft!D120</f>
        <v xml:space="preserve"> </v>
      </c>
      <c r="C13" s="24" t="str">
        <f>Draft!E120</f>
        <v xml:space="preserve"> </v>
      </c>
      <c r="D13" s="24" t="str">
        <f>Draft!F120</f>
        <v xml:space="preserve"> 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</row>
    <row r="14" spans="1:18" ht="20">
      <c r="A14" s="24" t="str">
        <f>Draft!$C$3</f>
        <v>T1</v>
      </c>
      <c r="B14" s="24" t="str">
        <f>Draft!D123</f>
        <v xml:space="preserve"> </v>
      </c>
      <c r="C14" s="24" t="str">
        <f>Draft!E123</f>
        <v xml:space="preserve"> </v>
      </c>
      <c r="D14" s="24" t="str">
        <f>Draft!F123</f>
        <v xml:space="preserve"> 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</row>
    <row r="15" spans="1:18" ht="20">
      <c r="A15" s="24" t="str">
        <f>Draft!$C$3</f>
        <v>T1</v>
      </c>
      <c r="B15" s="24" t="str">
        <f>Draft!D27</f>
        <v xml:space="preserve"> </v>
      </c>
      <c r="C15" s="24" t="str">
        <f>Draft!E27</f>
        <v xml:space="preserve"> </v>
      </c>
      <c r="D15" s="24" t="str">
        <f>Draft!F27</f>
        <v xml:space="preserve"> 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</row>
    <row r="16" spans="1:18" ht="20">
      <c r="A16" s="24" t="str">
        <f>Draft!$C$3</f>
        <v>T1</v>
      </c>
      <c r="B16" s="24" t="str">
        <f>Draft!D144</f>
        <v xml:space="preserve"> </v>
      </c>
      <c r="C16" s="24" t="str">
        <f>Draft!E144</f>
        <v xml:space="preserve"> </v>
      </c>
      <c r="D16" s="24" t="str">
        <f>Draft!F144</f>
        <v xml:space="preserve"> 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</row>
    <row r="17" spans="1:18" ht="20">
      <c r="A17" s="24" t="str">
        <f>Draft!$C$12</f>
        <v>T10</v>
      </c>
      <c r="B17" s="24" t="str">
        <f>Draft!D12</f>
        <v xml:space="preserve"> </v>
      </c>
      <c r="C17" s="24" t="str">
        <f>Draft!E12</f>
        <v xml:space="preserve"> </v>
      </c>
      <c r="D17" s="24" t="str">
        <f>Draft!F12</f>
        <v xml:space="preserve"> 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</row>
    <row r="18" spans="1:18" ht="20">
      <c r="A18" s="24" t="str">
        <f>Draft!$C$12</f>
        <v>T10</v>
      </c>
      <c r="B18" s="24" t="str">
        <f>Draft!D15</f>
        <v xml:space="preserve"> </v>
      </c>
      <c r="C18" s="24" t="str">
        <f>Draft!E15</f>
        <v xml:space="preserve"> </v>
      </c>
      <c r="D18" s="24" t="str">
        <f>Draft!F15</f>
        <v xml:space="preserve"> 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</row>
    <row r="19" spans="1:18" ht="20">
      <c r="A19" s="24" t="str">
        <f>Draft!$C$12</f>
        <v>T10</v>
      </c>
      <c r="B19" s="24" t="str">
        <f>Draft!D36</f>
        <v xml:space="preserve"> </v>
      </c>
      <c r="C19" s="24" t="str">
        <f>Draft!E36</f>
        <v xml:space="preserve"> </v>
      </c>
      <c r="D19" s="24" t="str">
        <f>Draft!F36</f>
        <v xml:space="preserve"> 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18" ht="20">
      <c r="A20" s="24" t="str">
        <f>Draft!$C$12</f>
        <v>T10</v>
      </c>
      <c r="B20" s="24" t="str">
        <f>Draft!D39</f>
        <v xml:space="preserve"> </v>
      </c>
      <c r="C20" s="24" t="str">
        <f>Draft!E39</f>
        <v xml:space="preserve"> </v>
      </c>
      <c r="D20" s="24" t="str">
        <f>Draft!F39</f>
        <v xml:space="preserve"> 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</row>
    <row r="21" spans="1:18" ht="20">
      <c r="A21" s="24" t="str">
        <f>Draft!$C$12</f>
        <v>T10</v>
      </c>
      <c r="B21" s="24" t="str">
        <f>Draft!D60</f>
        <v xml:space="preserve"> </v>
      </c>
      <c r="C21" s="24" t="str">
        <f>Draft!E60</f>
        <v xml:space="preserve"> </v>
      </c>
      <c r="D21" s="24" t="str">
        <f>Draft!F60</f>
        <v xml:space="preserve"> 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</row>
    <row r="22" spans="1:18" ht="20">
      <c r="A22" s="24" t="str">
        <f>Draft!$C$12</f>
        <v>T10</v>
      </c>
      <c r="B22" s="24" t="str">
        <f>Draft!D83</f>
        <v xml:space="preserve"> </v>
      </c>
      <c r="C22" s="24" t="str">
        <f>Draft!E83</f>
        <v xml:space="preserve"> </v>
      </c>
      <c r="D22" s="24" t="str">
        <f>Draft!F83</f>
        <v xml:space="preserve"> 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</row>
    <row r="23" spans="1:18" ht="20">
      <c r="A23" s="24" t="str">
        <f>Draft!$C$12</f>
        <v>T10</v>
      </c>
      <c r="B23" s="24" t="str">
        <f>Draft!D84</f>
        <v xml:space="preserve"> </v>
      </c>
      <c r="C23" s="24" t="str">
        <f>Draft!E84</f>
        <v xml:space="preserve"> </v>
      </c>
      <c r="D23" s="24" t="str">
        <f>Draft!F84</f>
        <v xml:space="preserve"> 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</row>
    <row r="24" spans="1:18" ht="20">
      <c r="A24" s="24" t="str">
        <f>Draft!$C$12</f>
        <v>T10</v>
      </c>
      <c r="B24" s="24" t="str">
        <f>Draft!D87</f>
        <v xml:space="preserve"> </v>
      </c>
      <c r="C24" s="24" t="str">
        <f>Draft!E87</f>
        <v xml:space="preserve"> </v>
      </c>
      <c r="D24" s="24" t="str">
        <f>Draft!F87</f>
        <v xml:space="preserve"> 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</row>
    <row r="25" spans="1:18" ht="20">
      <c r="A25" s="24" t="str">
        <f>Draft!$C$12</f>
        <v>T10</v>
      </c>
      <c r="B25" s="24" t="str">
        <f>Draft!D108</f>
        <v xml:space="preserve"> </v>
      </c>
      <c r="C25" s="24" t="str">
        <f>Draft!E108</f>
        <v xml:space="preserve"> </v>
      </c>
      <c r="D25" s="24" t="str">
        <f>Draft!F108</f>
        <v xml:space="preserve"> </v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</row>
    <row r="26" spans="1:18" ht="20">
      <c r="A26" s="24" t="str">
        <f>Draft!$C$12</f>
        <v>T10</v>
      </c>
      <c r="B26" s="24" t="str">
        <f>Draft!D111</f>
        <v xml:space="preserve"> </v>
      </c>
      <c r="C26" s="24" t="str">
        <f>Draft!E111</f>
        <v xml:space="preserve"> </v>
      </c>
      <c r="D26" s="24" t="str">
        <f>Draft!F111</f>
        <v xml:space="preserve"> 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</row>
    <row r="27" spans="1:18" ht="20">
      <c r="A27" s="24" t="str">
        <f>Draft!$C$12</f>
        <v>T10</v>
      </c>
      <c r="B27" s="24" t="str">
        <f>Draft!D132</f>
        <v xml:space="preserve"> </v>
      </c>
      <c r="C27" s="24" t="str">
        <f>Draft!E132</f>
        <v xml:space="preserve"> </v>
      </c>
      <c r="D27" s="24" t="str">
        <f>Draft!F132</f>
        <v xml:space="preserve"> 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ht="20">
      <c r="A28" s="24" t="str">
        <f>Draft!$C$12</f>
        <v>T10</v>
      </c>
      <c r="B28" s="24" t="str">
        <f>Draft!D135</f>
        <v xml:space="preserve"> </v>
      </c>
      <c r="C28" s="24" t="str">
        <f>Draft!E135</f>
        <v xml:space="preserve"> </v>
      </c>
      <c r="D28" s="24" t="str">
        <f>Draft!F135</f>
        <v xml:space="preserve"> 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</row>
    <row r="29" spans="1:18" ht="20">
      <c r="A29" s="24" t="str">
        <f>Draft!$C$12</f>
        <v>T10</v>
      </c>
      <c r="B29" s="24" t="str">
        <f>Draft!D156</f>
        <v xml:space="preserve"> </v>
      </c>
      <c r="C29" s="24" t="str">
        <f>Draft!E156</f>
        <v xml:space="preserve"> </v>
      </c>
      <c r="D29" s="24" t="str">
        <f>Draft!F156</f>
        <v xml:space="preserve"> 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</row>
    <row r="30" spans="1:18" ht="20">
      <c r="A30" s="24" t="str">
        <f>Draft!$C$12</f>
        <v>T10</v>
      </c>
      <c r="B30" s="24" t="str">
        <f>Draft!D159</f>
        <v xml:space="preserve"> </v>
      </c>
      <c r="C30" s="24" t="str">
        <f>Draft!E159</f>
        <v xml:space="preserve"> </v>
      </c>
      <c r="D30" s="24" t="str">
        <f>Draft!F159</f>
        <v xml:space="preserve"> 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</row>
    <row r="31" spans="1:18" ht="20">
      <c r="A31" s="24" t="str">
        <f>Draft!$C$12</f>
        <v>T10</v>
      </c>
      <c r="B31" s="24" t="str">
        <f>Draft!D180</f>
        <v xml:space="preserve"> </v>
      </c>
      <c r="C31" s="24" t="str">
        <f>Draft!E180</f>
        <v xml:space="preserve"> </v>
      </c>
      <c r="D31" s="24" t="str">
        <f>Draft!F180</f>
        <v xml:space="preserve"> 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</row>
    <row r="32" spans="1:18" ht="20">
      <c r="A32" s="24" t="str">
        <f>Draft!$C$4</f>
        <v>T2</v>
      </c>
      <c r="B32" s="24" t="str">
        <f>Draft!D124</f>
        <v xml:space="preserve"> </v>
      </c>
      <c r="C32" s="24" t="str">
        <f>Draft!E124</f>
        <v xml:space="preserve"> </v>
      </c>
      <c r="D32" s="24" t="str">
        <f>Draft!F124</f>
        <v xml:space="preserve"> 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</row>
    <row r="33" spans="1:18" ht="20">
      <c r="A33" s="24" t="str">
        <f>Draft!$C$4</f>
        <v>T2</v>
      </c>
      <c r="B33" s="24" t="str">
        <f>Draft!D144</f>
        <v xml:space="preserve"> </v>
      </c>
      <c r="C33" s="24" t="str">
        <f>Draft!E144</f>
        <v xml:space="preserve"> </v>
      </c>
      <c r="D33" s="24" t="str">
        <f>Draft!F144</f>
        <v xml:space="preserve"> 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</row>
    <row r="34" spans="1:18" ht="20">
      <c r="A34" s="24" t="str">
        <f>Draft!$C$4</f>
        <v>T2</v>
      </c>
      <c r="B34" s="24" t="str">
        <f>Draft!D23</f>
        <v xml:space="preserve"> </v>
      </c>
      <c r="C34" s="24" t="str">
        <f>Draft!E23</f>
        <v xml:space="preserve"> </v>
      </c>
      <c r="D34" s="24" t="str">
        <f>Draft!F23</f>
        <v xml:space="preserve"> 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</row>
    <row r="35" spans="1:18" ht="20">
      <c r="A35" s="24" t="str">
        <f>Draft!$C$4</f>
        <v>T2</v>
      </c>
      <c r="B35" s="24" t="str">
        <f>Draft!D4</f>
        <v xml:space="preserve"> </v>
      </c>
      <c r="C35" s="24" t="str">
        <f>Draft!E4</f>
        <v xml:space="preserve"> </v>
      </c>
      <c r="D35" s="24" t="str">
        <f>Draft!F4</f>
        <v xml:space="preserve"> 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</row>
    <row r="36" spans="1:18" ht="20">
      <c r="A36" s="24" t="str">
        <f>Draft!$C$4</f>
        <v>T2</v>
      </c>
      <c r="B36" s="24" t="str">
        <f>Draft!D28</f>
        <v xml:space="preserve"> </v>
      </c>
      <c r="C36" s="24" t="str">
        <f>Draft!E28</f>
        <v xml:space="preserve"> </v>
      </c>
      <c r="D36" s="24" t="str">
        <f>Draft!F28</f>
        <v xml:space="preserve"> 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20">
      <c r="A37" s="24" t="str">
        <f>Draft!$C$4</f>
        <v>T2</v>
      </c>
      <c r="B37" s="24" t="str">
        <f>Draft!D47</f>
        <v xml:space="preserve"> </v>
      </c>
      <c r="C37" s="24" t="str">
        <f>Draft!E47</f>
        <v xml:space="preserve"> </v>
      </c>
      <c r="D37" s="24" t="str">
        <f>Draft!F47</f>
        <v xml:space="preserve"> 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</row>
    <row r="38" spans="1:18" ht="20">
      <c r="A38" s="24" t="str">
        <f>Draft!$C$4</f>
        <v>T2</v>
      </c>
      <c r="B38" s="24" t="str">
        <f>Draft!D52</f>
        <v xml:space="preserve"> </v>
      </c>
      <c r="C38" s="24" t="str">
        <f>Draft!E52</f>
        <v xml:space="preserve"> </v>
      </c>
      <c r="D38" s="24" t="str">
        <f>Draft!F52</f>
        <v xml:space="preserve"> 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ht="20">
      <c r="A39" s="24" t="str">
        <f>Draft!$C$4</f>
        <v>T2</v>
      </c>
      <c r="B39" s="24" t="str">
        <f>Draft!D71</f>
        <v xml:space="preserve"> </v>
      </c>
      <c r="C39" s="24" t="str">
        <f>Draft!E71</f>
        <v xml:space="preserve"> </v>
      </c>
      <c r="D39" s="24" t="str">
        <f>Draft!F71</f>
        <v xml:space="preserve"> 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20">
      <c r="A40" s="24" t="str">
        <f>Draft!$C$4</f>
        <v>T2</v>
      </c>
      <c r="B40" s="24" t="str">
        <f>Draft!D76</f>
        <v xml:space="preserve"> </v>
      </c>
      <c r="C40" s="24" t="str">
        <f>Draft!E76</f>
        <v xml:space="preserve"> </v>
      </c>
      <c r="D40" s="24" t="str">
        <f>Draft!F76</f>
        <v xml:space="preserve"> 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</row>
    <row r="41" spans="1:18" ht="20">
      <c r="A41" s="24" t="str">
        <f>Draft!$C$4</f>
        <v>T2</v>
      </c>
      <c r="B41" s="24" t="str">
        <f>Draft!D95</f>
        <v xml:space="preserve"> </v>
      </c>
      <c r="C41" s="24" t="str">
        <f>Draft!E95</f>
        <v xml:space="preserve"> </v>
      </c>
      <c r="D41" s="24" t="str">
        <f>Draft!F95</f>
        <v xml:space="preserve"> 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</row>
    <row r="42" spans="1:18" ht="20">
      <c r="A42" s="24" t="str">
        <f>Draft!$C$4</f>
        <v>T2</v>
      </c>
      <c r="B42" s="24" t="str">
        <f>Draft!D100</f>
        <v xml:space="preserve"> </v>
      </c>
      <c r="C42" s="24" t="str">
        <f>Draft!E100</f>
        <v xml:space="preserve"> </v>
      </c>
      <c r="D42" s="24" t="str">
        <f>Draft!F100</f>
        <v xml:space="preserve"> 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20">
      <c r="A43" s="24" t="str">
        <f>Draft!$C$4</f>
        <v>T2</v>
      </c>
      <c r="B43" s="24" t="str">
        <f>Draft!D119</f>
        <v xml:space="preserve"> </v>
      </c>
      <c r="C43" s="24" t="str">
        <f>Draft!E119</f>
        <v xml:space="preserve"> </v>
      </c>
      <c r="D43" s="24" t="str">
        <f>Draft!F119</f>
        <v xml:space="preserve"> 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</row>
    <row r="44" spans="1:18" ht="20">
      <c r="A44" s="24" t="str">
        <f>Draft!$C$4</f>
        <v>T2</v>
      </c>
      <c r="B44" s="24" t="str">
        <f>Draft!D148</f>
        <v xml:space="preserve"> </v>
      </c>
      <c r="C44" s="24" t="str">
        <f>Draft!E148</f>
        <v xml:space="preserve"> </v>
      </c>
      <c r="D44" s="24" t="str">
        <f>Draft!F148</f>
        <v xml:space="preserve"> 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</row>
    <row r="45" spans="1:18" ht="20">
      <c r="A45" s="24" t="str">
        <f>Draft!$C$4</f>
        <v>T2</v>
      </c>
      <c r="B45" s="24" t="str">
        <f>Draft!D167</f>
        <v xml:space="preserve"> </v>
      </c>
      <c r="C45" s="24" t="str">
        <f>Draft!E167</f>
        <v xml:space="preserve"> </v>
      </c>
      <c r="D45" s="24" t="str">
        <f>Draft!F167</f>
        <v xml:space="preserve"> 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20">
      <c r="A46" s="24" t="str">
        <f>Draft!$C$4</f>
        <v>T2</v>
      </c>
      <c r="B46" s="24" t="str">
        <f>Draft!D172</f>
        <v xml:space="preserve"> </v>
      </c>
      <c r="C46" s="24" t="str">
        <f>Draft!E172</f>
        <v xml:space="preserve"> </v>
      </c>
      <c r="D46" s="24" t="str">
        <f>Draft!F172</f>
        <v xml:space="preserve"> 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</row>
    <row r="47" spans="1:18" ht="20">
      <c r="A47" s="24" t="str">
        <f>Draft!$C$5</f>
        <v>T3</v>
      </c>
      <c r="B47" s="24" t="str">
        <f>Draft!D5</f>
        <v xml:space="preserve"> </v>
      </c>
      <c r="C47" s="24" t="str">
        <f>Draft!E5</f>
        <v xml:space="preserve"> </v>
      </c>
      <c r="D47" s="24" t="str">
        <f>Draft!F5</f>
        <v xml:space="preserve"> 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spans="1:18" ht="20">
      <c r="A48" s="24" t="str">
        <f>Draft!$C$5</f>
        <v>T3</v>
      </c>
      <c r="B48" s="24" t="str">
        <f>Draft!D22</f>
        <v xml:space="preserve"> </v>
      </c>
      <c r="C48" s="24" t="str">
        <f>Draft!E22</f>
        <v xml:space="preserve"> </v>
      </c>
      <c r="D48" s="24" t="str">
        <f>Draft!F22</f>
        <v xml:space="preserve"> 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</row>
    <row r="49" spans="1:18" ht="20">
      <c r="A49" s="24" t="str">
        <f>Draft!$C$5</f>
        <v>T3</v>
      </c>
      <c r="B49" s="24" t="str">
        <f>Draft!D29</f>
        <v xml:space="preserve"> </v>
      </c>
      <c r="C49" s="24" t="str">
        <f>Draft!E29</f>
        <v xml:space="preserve"> </v>
      </c>
      <c r="D49" s="24" t="str">
        <f>Draft!F29</f>
        <v xml:space="preserve"> 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1:18" ht="20">
      <c r="A50" s="24" t="str">
        <f>Draft!$C$5</f>
        <v>T3</v>
      </c>
      <c r="B50" s="24" t="str">
        <f>Draft!D46</f>
        <v xml:space="preserve"> </v>
      </c>
      <c r="C50" s="24" t="str">
        <f>Draft!E46</f>
        <v xml:space="preserve"> </v>
      </c>
      <c r="D50" s="24" t="str">
        <f>Draft!F46</f>
        <v xml:space="preserve"> 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spans="1:18" ht="20">
      <c r="A51" s="24" t="str">
        <f>Draft!$C$5</f>
        <v>T3</v>
      </c>
      <c r="B51" s="24" t="str">
        <f>Draft!D53</f>
        <v xml:space="preserve"> </v>
      </c>
      <c r="C51" s="24" t="str">
        <f>Draft!E53</f>
        <v xml:space="preserve"> </v>
      </c>
      <c r="D51" s="24" t="str">
        <f>Draft!F53</f>
        <v xml:space="preserve"> 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spans="1:18" ht="20">
      <c r="A52" s="24" t="str">
        <f>Draft!$C$5</f>
        <v>T3</v>
      </c>
      <c r="B52" s="24" t="str">
        <f>Draft!D70</f>
        <v xml:space="preserve"> </v>
      </c>
      <c r="C52" s="24" t="str">
        <f>Draft!E70</f>
        <v xml:space="preserve"> </v>
      </c>
      <c r="D52" s="24" t="str">
        <f>Draft!F70</f>
        <v xml:space="preserve"> 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ht="20">
      <c r="A53" s="24" t="str">
        <f>Draft!$C$5</f>
        <v>T3</v>
      </c>
      <c r="B53" s="24" t="str">
        <f>Draft!D77</f>
        <v xml:space="preserve"> </v>
      </c>
      <c r="C53" s="24" t="str">
        <f>Draft!E77</f>
        <v xml:space="preserve"> </v>
      </c>
      <c r="D53" s="24" t="str">
        <f>Draft!F77</f>
        <v xml:space="preserve"> 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spans="1:18" ht="20">
      <c r="A54" s="24" t="str">
        <f>Draft!$C$5</f>
        <v>T3</v>
      </c>
      <c r="B54" s="24" t="str">
        <f>Draft!D94</f>
        <v xml:space="preserve"> </v>
      </c>
      <c r="C54" s="24" t="str">
        <f>Draft!E94</f>
        <v xml:space="preserve"> </v>
      </c>
      <c r="D54" s="24" t="str">
        <f>Draft!F94</f>
        <v xml:space="preserve"> 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</row>
    <row r="55" spans="1:18" ht="20">
      <c r="A55" s="24" t="str">
        <f>Draft!$C$5</f>
        <v>T3</v>
      </c>
      <c r="B55" s="24" t="str">
        <f>Draft!D101</f>
        <v xml:space="preserve"> </v>
      </c>
      <c r="C55" s="24" t="str">
        <f>Draft!E101</f>
        <v xml:space="preserve"> </v>
      </c>
      <c r="D55" s="24" t="str">
        <f>Draft!F101</f>
        <v xml:space="preserve"> 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spans="1:18" ht="20">
      <c r="A56" s="24" t="str">
        <f>Draft!$C$5</f>
        <v>T3</v>
      </c>
      <c r="B56" s="24" t="str">
        <f>Draft!D118</f>
        <v xml:space="preserve"> </v>
      </c>
      <c r="C56" s="24" t="str">
        <f>Draft!E118</f>
        <v xml:space="preserve"> </v>
      </c>
      <c r="D56" s="24" t="str">
        <f>Draft!F118</f>
        <v xml:space="preserve"> 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</row>
    <row r="57" spans="1:18" ht="20">
      <c r="A57" s="24" t="str">
        <f>Draft!$C$5</f>
        <v>T3</v>
      </c>
      <c r="B57" s="24" t="str">
        <f>Draft!D125</f>
        <v xml:space="preserve"> </v>
      </c>
      <c r="C57" s="24" t="str">
        <f>Draft!E125</f>
        <v xml:space="preserve"> </v>
      </c>
      <c r="D57" s="24" t="str">
        <f>Draft!F125</f>
        <v xml:space="preserve"> 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</row>
    <row r="58" spans="1:18" ht="20">
      <c r="A58" s="24" t="str">
        <f>Draft!$C$5</f>
        <v>T3</v>
      </c>
      <c r="B58" s="24" t="str">
        <f>Draft!D142</f>
        <v xml:space="preserve"> </v>
      </c>
      <c r="C58" s="24" t="str">
        <f>Draft!E142</f>
        <v xml:space="preserve"> </v>
      </c>
      <c r="D58" s="24" t="str">
        <f>Draft!F142</f>
        <v xml:space="preserve"> 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</row>
    <row r="59" spans="1:18" ht="20">
      <c r="A59" s="24" t="str">
        <f>Draft!$C$5</f>
        <v>T3</v>
      </c>
      <c r="B59" s="24" t="str">
        <f>Draft!D149</f>
        <v xml:space="preserve"> </v>
      </c>
      <c r="C59" s="24" t="str">
        <f>Draft!E149</f>
        <v xml:space="preserve"> </v>
      </c>
      <c r="D59" s="24" t="str">
        <f>Draft!F149</f>
        <v xml:space="preserve"> 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</row>
    <row r="60" spans="1:18" ht="20">
      <c r="A60" s="24" t="str">
        <f>Draft!$C$5</f>
        <v>T3</v>
      </c>
      <c r="B60" s="24" t="str">
        <f>Draft!D166</f>
        <v xml:space="preserve"> </v>
      </c>
      <c r="C60" s="24" t="str">
        <f>Draft!E166</f>
        <v xml:space="preserve"> </v>
      </c>
      <c r="D60" s="24" t="str">
        <f>Draft!F166</f>
        <v xml:space="preserve"> 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1:18" ht="20">
      <c r="A61" s="24" t="str">
        <f>Draft!$C$5</f>
        <v>T3</v>
      </c>
      <c r="B61" s="24" t="str">
        <f>Draft!D173</f>
        <v xml:space="preserve"> </v>
      </c>
      <c r="C61" s="24" t="str">
        <f>Draft!E173</f>
        <v xml:space="preserve"> </v>
      </c>
      <c r="D61" s="24" t="str">
        <f>Draft!F173</f>
        <v xml:space="preserve"> 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</row>
    <row r="62" spans="1:18" ht="20">
      <c r="A62" s="24" t="str">
        <f>Draft!$C$6</f>
        <v>T4</v>
      </c>
      <c r="B62" s="24" t="str">
        <f>Draft!D6</f>
        <v xml:space="preserve"> </v>
      </c>
      <c r="C62" s="24" t="str">
        <f>Draft!E6</f>
        <v xml:space="preserve"> </v>
      </c>
      <c r="D62" s="24" t="str">
        <f>Draft!F6</f>
        <v xml:space="preserve"> 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</row>
    <row r="63" spans="1:18" ht="20">
      <c r="A63" s="24" t="str">
        <f>Draft!$C$6</f>
        <v>T4</v>
      </c>
      <c r="B63" s="24" t="str">
        <f>Draft!D21</f>
        <v xml:space="preserve"> </v>
      </c>
      <c r="C63" s="24" t="str">
        <f>Draft!E21</f>
        <v xml:space="preserve"> </v>
      </c>
      <c r="D63" s="24" t="str">
        <f>Draft!F21</f>
        <v xml:space="preserve"> 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</row>
    <row r="64" spans="1:18" ht="20">
      <c r="A64" s="24" t="str">
        <f>Draft!$C$6</f>
        <v>T4</v>
      </c>
      <c r="B64" s="24" t="str">
        <f>Draft!D30</f>
        <v xml:space="preserve"> </v>
      </c>
      <c r="C64" s="24" t="str">
        <f>Draft!E30</f>
        <v xml:space="preserve"> </v>
      </c>
      <c r="D64" s="24" t="str">
        <f>Draft!F30</f>
        <v xml:space="preserve"> 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</row>
    <row r="65" spans="1:18" ht="20">
      <c r="A65" s="24" t="str">
        <f>Draft!$C$6</f>
        <v>T4</v>
      </c>
      <c r="B65" s="24" t="str">
        <f>Draft!D45</f>
        <v xml:space="preserve"> </v>
      </c>
      <c r="C65" s="24" t="str">
        <f>Draft!E45</f>
        <v xml:space="preserve"> </v>
      </c>
      <c r="D65" s="24" t="str">
        <f>Draft!F45</f>
        <v xml:space="preserve"> 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</row>
    <row r="66" spans="1:18" ht="20">
      <c r="A66" s="24" t="str">
        <f>Draft!$C$6</f>
        <v>T4</v>
      </c>
      <c r="B66" s="24" t="str">
        <f>Draft!D54</f>
        <v xml:space="preserve"> </v>
      </c>
      <c r="C66" s="24" t="str">
        <f>Draft!E54</f>
        <v xml:space="preserve"> </v>
      </c>
      <c r="D66" s="24" t="str">
        <f>Draft!F54</f>
        <v xml:space="preserve"> 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</row>
    <row r="67" spans="1:18" ht="20">
      <c r="A67" s="24" t="str">
        <f>Draft!$C$6</f>
        <v>T4</v>
      </c>
      <c r="B67" s="24" t="str">
        <f>Draft!D69</f>
        <v xml:space="preserve"> </v>
      </c>
      <c r="C67" s="24" t="str">
        <f>Draft!E69</f>
        <v xml:space="preserve"> </v>
      </c>
      <c r="D67" s="24" t="str">
        <f>Draft!F69</f>
        <v xml:space="preserve"> 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</row>
    <row r="68" spans="1:18" ht="20">
      <c r="A68" s="24" t="str">
        <f>Draft!$C$6</f>
        <v>T4</v>
      </c>
      <c r="B68" s="24" t="str">
        <f>Draft!D78</f>
        <v xml:space="preserve"> </v>
      </c>
      <c r="C68" s="24" t="str">
        <f>Draft!E78</f>
        <v xml:space="preserve"> </v>
      </c>
      <c r="D68" s="24" t="str">
        <f>Draft!F78</f>
        <v xml:space="preserve"> 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</row>
    <row r="69" spans="1:18" ht="20">
      <c r="A69" s="24" t="str">
        <f>Draft!$C$6</f>
        <v>T4</v>
      </c>
      <c r="B69" s="24" t="str">
        <f>Draft!D93</f>
        <v xml:space="preserve"> </v>
      </c>
      <c r="C69" s="24" t="str">
        <f>Draft!E93</f>
        <v xml:space="preserve"> </v>
      </c>
      <c r="D69" s="24" t="str">
        <f>Draft!F93</f>
        <v xml:space="preserve"> 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</row>
    <row r="70" spans="1:18" ht="20">
      <c r="A70" s="24" t="str">
        <f>Draft!$C$6</f>
        <v>T4</v>
      </c>
      <c r="B70" s="24" t="str">
        <f>Draft!D102</f>
        <v xml:space="preserve"> </v>
      </c>
      <c r="C70" s="24" t="str">
        <f>Draft!E102</f>
        <v xml:space="preserve"> </v>
      </c>
      <c r="D70" s="24" t="str">
        <f>Draft!F102</f>
        <v xml:space="preserve"> 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</row>
    <row r="71" spans="1:18" ht="20">
      <c r="A71" s="24" t="str">
        <f>Draft!$C$6</f>
        <v>T4</v>
      </c>
      <c r="B71" s="24" t="str">
        <f>Draft!D117</f>
        <v xml:space="preserve"> </v>
      </c>
      <c r="C71" s="24" t="str">
        <f>Draft!E117</f>
        <v xml:space="preserve"> </v>
      </c>
      <c r="D71" s="24" t="str">
        <f>Draft!F117</f>
        <v xml:space="preserve"> 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1:18" ht="20">
      <c r="A72" s="24" t="str">
        <f>Draft!$C$6</f>
        <v>T4</v>
      </c>
      <c r="B72" s="24" t="str">
        <f>Draft!D126</f>
        <v xml:space="preserve"> </v>
      </c>
      <c r="C72" s="24" t="str">
        <f>Draft!E126</f>
        <v xml:space="preserve"> </v>
      </c>
      <c r="D72" s="24" t="str">
        <f>Draft!F126</f>
        <v xml:space="preserve"> 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</row>
    <row r="73" spans="1:18" ht="20">
      <c r="A73" s="24" t="str">
        <f>Draft!$C$6</f>
        <v>T4</v>
      </c>
      <c r="B73" s="24" t="str">
        <f>Draft!D141</f>
        <v xml:space="preserve"> </v>
      </c>
      <c r="C73" s="24" t="str">
        <f>Draft!E141</f>
        <v xml:space="preserve"> </v>
      </c>
      <c r="D73" s="24" t="str">
        <f>Draft!F141</f>
        <v xml:space="preserve"> 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</row>
    <row r="74" spans="1:18" ht="20">
      <c r="A74" s="24" t="str">
        <f>Draft!$C$6</f>
        <v>T4</v>
      </c>
      <c r="B74" s="24" t="str">
        <f>Draft!D150</f>
        <v xml:space="preserve"> </v>
      </c>
      <c r="C74" s="24" t="str">
        <f>Draft!E150</f>
        <v xml:space="preserve"> </v>
      </c>
      <c r="D74" s="24" t="str">
        <f>Draft!F150</f>
        <v xml:space="preserve"> 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</row>
    <row r="75" spans="1:18" ht="20">
      <c r="A75" s="24" t="str">
        <f>Draft!$C$6</f>
        <v>T4</v>
      </c>
      <c r="B75" s="24" t="str">
        <f>Draft!D165</f>
        <v xml:space="preserve"> </v>
      </c>
      <c r="C75" s="24" t="str">
        <f>Draft!E165</f>
        <v xml:space="preserve"> </v>
      </c>
      <c r="D75" s="24" t="str">
        <f>Draft!F165</f>
        <v xml:space="preserve"> 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</row>
    <row r="76" spans="1:18" ht="20">
      <c r="A76" s="24" t="str">
        <f>Draft!$C$6</f>
        <v>T4</v>
      </c>
      <c r="B76" s="24" t="str">
        <f>Draft!D174</f>
        <v xml:space="preserve"> </v>
      </c>
      <c r="C76" s="24" t="str">
        <f>Draft!E174</f>
        <v xml:space="preserve"> </v>
      </c>
      <c r="D76" s="24" t="str">
        <f>Draft!F174</f>
        <v xml:space="preserve"> 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</row>
    <row r="77" spans="1:18" ht="20">
      <c r="A77" s="24" t="str">
        <f>Draft!$C$7</f>
        <v>T5</v>
      </c>
      <c r="B77" s="24" t="str">
        <f>Draft!D7</f>
        <v xml:space="preserve"> </v>
      </c>
      <c r="C77" s="24" t="str">
        <f>Draft!E7</f>
        <v xml:space="preserve"> </v>
      </c>
      <c r="D77" s="24" t="str">
        <f>Draft!F7</f>
        <v xml:space="preserve"> 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8" ht="20">
      <c r="A78" s="24" t="str">
        <f>Draft!$C$7</f>
        <v>T5</v>
      </c>
      <c r="B78" s="24" t="str">
        <f>Draft!D20</f>
        <v xml:space="preserve"> </v>
      </c>
      <c r="C78" s="24" t="str">
        <f>Draft!E20</f>
        <v xml:space="preserve"> </v>
      </c>
      <c r="D78" s="24" t="str">
        <f>Draft!F20</f>
        <v xml:space="preserve"> 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</row>
    <row r="79" spans="1:18" ht="20">
      <c r="A79" s="24" t="str">
        <f>Draft!$C$7</f>
        <v>T5</v>
      </c>
      <c r="B79" s="24" t="str">
        <f>Draft!D31</f>
        <v xml:space="preserve"> </v>
      </c>
      <c r="C79" s="24" t="str">
        <f>Draft!E31</f>
        <v xml:space="preserve"> </v>
      </c>
      <c r="D79" s="24" t="str">
        <f>Draft!F31</f>
        <v xml:space="preserve"> 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</row>
    <row r="80" spans="1:18" ht="20">
      <c r="A80" s="24" t="str">
        <f>Draft!$C$7</f>
        <v>T5</v>
      </c>
      <c r="B80" s="24" t="str">
        <f>Draft!D44</f>
        <v xml:space="preserve"> </v>
      </c>
      <c r="C80" s="24" t="str">
        <f>Draft!E44</f>
        <v xml:space="preserve"> </v>
      </c>
      <c r="D80" s="24" t="str">
        <f>Draft!F44</f>
        <v xml:space="preserve"> 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</row>
    <row r="81" spans="1:18" ht="20">
      <c r="A81" s="24" t="str">
        <f>Draft!$C$7</f>
        <v>T5</v>
      </c>
      <c r="B81" s="24" t="str">
        <f>Draft!D55</f>
        <v xml:space="preserve"> </v>
      </c>
      <c r="C81" s="24" t="str">
        <f>Draft!E55</f>
        <v xml:space="preserve"> </v>
      </c>
      <c r="D81" s="24" t="str">
        <f>Draft!F55</f>
        <v xml:space="preserve"> 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</row>
    <row r="82" spans="1:18" ht="20">
      <c r="A82" s="24" t="str">
        <f>Draft!$C$7</f>
        <v>T5</v>
      </c>
      <c r="B82" s="24" t="str">
        <f>Draft!D68</f>
        <v xml:space="preserve"> </v>
      </c>
      <c r="C82" s="24" t="str">
        <f>Draft!E68</f>
        <v xml:space="preserve"> </v>
      </c>
      <c r="D82" s="24" t="str">
        <f>Draft!F68</f>
        <v xml:space="preserve"> 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1:18" ht="20">
      <c r="A83" s="24" t="str">
        <f>Draft!$C$7</f>
        <v>T5</v>
      </c>
      <c r="B83" s="24" t="str">
        <f>Draft!D79</f>
        <v xml:space="preserve"> </v>
      </c>
      <c r="C83" s="24" t="str">
        <f>Draft!E79</f>
        <v xml:space="preserve"> </v>
      </c>
      <c r="D83" s="24" t="str">
        <f>Draft!F79</f>
        <v xml:space="preserve"> 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</row>
    <row r="84" spans="1:18" ht="20">
      <c r="A84" s="24" t="str">
        <f>Draft!$C$7</f>
        <v>T5</v>
      </c>
      <c r="B84" s="24" t="str">
        <f>Draft!D92</f>
        <v xml:space="preserve"> </v>
      </c>
      <c r="C84" s="24" t="str">
        <f>Draft!E92</f>
        <v xml:space="preserve"> </v>
      </c>
      <c r="D84" s="24" t="str">
        <f>Draft!F92</f>
        <v xml:space="preserve"> 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</row>
    <row r="85" spans="1:18" ht="20">
      <c r="A85" s="24" t="str">
        <f>Draft!$C$7</f>
        <v>T5</v>
      </c>
      <c r="B85" s="24" t="str">
        <f>Draft!D103</f>
        <v xml:space="preserve"> </v>
      </c>
      <c r="C85" s="24" t="str">
        <f>Draft!E103</f>
        <v xml:space="preserve"> </v>
      </c>
      <c r="D85" s="24" t="str">
        <f>Draft!F103</f>
        <v xml:space="preserve"> 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</row>
    <row r="86" spans="1:18" ht="20">
      <c r="A86" s="24" t="str">
        <f>Draft!$C$7</f>
        <v>T5</v>
      </c>
      <c r="B86" s="24" t="str">
        <f>Draft!D116</f>
        <v xml:space="preserve"> </v>
      </c>
      <c r="C86" s="24" t="str">
        <f>Draft!E116</f>
        <v xml:space="preserve"> </v>
      </c>
      <c r="D86" s="24" t="str">
        <f>Draft!F116</f>
        <v xml:space="preserve"> 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</row>
    <row r="87" spans="1:18" ht="20">
      <c r="A87" s="24" t="str">
        <f>Draft!$C$7</f>
        <v>T5</v>
      </c>
      <c r="B87" s="24" t="str">
        <f>Draft!D127</f>
        <v xml:space="preserve"> </v>
      </c>
      <c r="C87" s="24" t="str">
        <f>Draft!E127</f>
        <v xml:space="preserve"> </v>
      </c>
      <c r="D87" s="24" t="str">
        <f>Draft!F127</f>
        <v xml:space="preserve"> 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</row>
    <row r="88" spans="1:18" ht="20">
      <c r="A88" s="24" t="str">
        <f>Draft!$C$7</f>
        <v>T5</v>
      </c>
      <c r="B88" s="24" t="str">
        <f>Draft!D140</f>
        <v xml:space="preserve"> </v>
      </c>
      <c r="C88" s="24" t="str">
        <f>Draft!E140</f>
        <v xml:space="preserve"> </v>
      </c>
      <c r="D88" s="24" t="str">
        <f>Draft!F140</f>
        <v xml:space="preserve"> 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1:18" ht="20">
      <c r="A89" s="24" t="str">
        <f>Draft!$C$7</f>
        <v>T5</v>
      </c>
      <c r="B89" s="24" t="str">
        <f>Draft!D151</f>
        <v xml:space="preserve"> </v>
      </c>
      <c r="C89" s="24" t="str">
        <f>Draft!E151</f>
        <v xml:space="preserve"> </v>
      </c>
      <c r="D89" s="24" t="str">
        <f>Draft!F151</f>
        <v xml:space="preserve"> 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</row>
    <row r="90" spans="1:18" ht="20">
      <c r="A90" s="24" t="str">
        <f>Draft!$C$7</f>
        <v>T5</v>
      </c>
      <c r="B90" s="24" t="str">
        <f>Draft!D164</f>
        <v xml:space="preserve"> </v>
      </c>
      <c r="C90" s="24" t="str">
        <f>Draft!E164</f>
        <v xml:space="preserve"> </v>
      </c>
      <c r="D90" s="24" t="str">
        <f>Draft!F164</f>
        <v xml:space="preserve"> 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</row>
    <row r="91" spans="1:18" ht="20">
      <c r="A91" s="24" t="str">
        <f>Draft!$C$7</f>
        <v>T5</v>
      </c>
      <c r="B91" s="24" t="str">
        <f>Draft!D175</f>
        <v xml:space="preserve"> </v>
      </c>
      <c r="C91" s="24" t="str">
        <f>Draft!E175</f>
        <v xml:space="preserve"> </v>
      </c>
      <c r="D91" s="24" t="str">
        <f>Draft!F175</f>
        <v xml:space="preserve"> 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</row>
    <row r="92" spans="1:18" ht="20">
      <c r="A92" s="24" t="str">
        <f>Draft!$C$8</f>
        <v>T6</v>
      </c>
      <c r="B92" s="24" t="str">
        <f>Draft!D8</f>
        <v xml:space="preserve"> </v>
      </c>
      <c r="C92" s="24" t="str">
        <f>Draft!E8</f>
        <v xml:space="preserve"> </v>
      </c>
      <c r="D92" s="24" t="str">
        <f>Draft!F8</f>
        <v xml:space="preserve"> 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</row>
    <row r="93" spans="1:18" ht="20">
      <c r="A93" s="24" t="str">
        <f>Draft!$C$8</f>
        <v>T6</v>
      </c>
      <c r="B93" s="24" t="str">
        <f>Draft!D19</f>
        <v xml:space="preserve"> </v>
      </c>
      <c r="C93" s="24" t="str">
        <f>Draft!E19</f>
        <v xml:space="preserve"> </v>
      </c>
      <c r="D93" s="24" t="str">
        <f>Draft!F19</f>
        <v xml:space="preserve"> 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</row>
    <row r="94" spans="1:18" ht="20">
      <c r="A94" s="24" t="str">
        <f>Draft!$C$8</f>
        <v>T6</v>
      </c>
      <c r="B94" s="24" t="str">
        <f>Draft!D32</f>
        <v xml:space="preserve"> </v>
      </c>
      <c r="C94" s="24" t="str">
        <f>Draft!E32</f>
        <v xml:space="preserve"> </v>
      </c>
      <c r="D94" s="24" t="str">
        <f>Draft!F32</f>
        <v xml:space="preserve"> 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</row>
    <row r="95" spans="1:18" ht="20">
      <c r="A95" s="24" t="str">
        <f>Draft!$C$8</f>
        <v>T6</v>
      </c>
      <c r="B95" s="24" t="str">
        <f>Draft!D43</f>
        <v xml:space="preserve"> </v>
      </c>
      <c r="C95" s="24" t="str">
        <f>Draft!E43</f>
        <v xml:space="preserve"> </v>
      </c>
      <c r="D95" s="24" t="str">
        <f>Draft!F43</f>
        <v xml:space="preserve"> 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</row>
    <row r="96" spans="1:18" ht="20">
      <c r="A96" s="24" t="str">
        <f>Draft!$C$8</f>
        <v>T6</v>
      </c>
      <c r="B96" s="24" t="str">
        <f>Draft!D56</f>
        <v xml:space="preserve"> </v>
      </c>
      <c r="C96" s="24" t="str">
        <f>Draft!E56</f>
        <v xml:space="preserve"> </v>
      </c>
      <c r="D96" s="24" t="str">
        <f>Draft!F56</f>
        <v xml:space="preserve"> 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</row>
    <row r="97" spans="1:18" ht="20">
      <c r="A97" s="24" t="str">
        <f>Draft!$C$8</f>
        <v>T6</v>
      </c>
      <c r="B97" s="24" t="str">
        <f>Draft!D67</f>
        <v xml:space="preserve"> </v>
      </c>
      <c r="C97" s="24" t="str">
        <f>Draft!E67</f>
        <v xml:space="preserve"> </v>
      </c>
      <c r="D97" s="24" t="str">
        <f>Draft!F67</f>
        <v xml:space="preserve"> 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</row>
    <row r="98" spans="1:18" ht="20">
      <c r="A98" s="24" t="str">
        <f>Draft!$C$8</f>
        <v>T6</v>
      </c>
      <c r="B98" s="24" t="str">
        <f>Draft!D80</f>
        <v xml:space="preserve"> </v>
      </c>
      <c r="C98" s="24" t="str">
        <f>Draft!E80</f>
        <v xml:space="preserve"> </v>
      </c>
      <c r="D98" s="24" t="str">
        <f>Draft!F80</f>
        <v xml:space="preserve"> 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</row>
    <row r="99" spans="1:18" ht="20">
      <c r="A99" s="24" t="str">
        <f>Draft!$C$8</f>
        <v>T6</v>
      </c>
      <c r="B99" s="24" t="str">
        <f>Draft!D91</f>
        <v xml:space="preserve"> </v>
      </c>
      <c r="C99" s="24" t="str">
        <f>Draft!E91</f>
        <v xml:space="preserve"> </v>
      </c>
      <c r="D99" s="24" t="str">
        <f>Draft!F91</f>
        <v xml:space="preserve"> 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</row>
    <row r="100" spans="1:18" ht="20">
      <c r="A100" s="24" t="str">
        <f>Draft!$C$8</f>
        <v>T6</v>
      </c>
      <c r="B100" s="24" t="str">
        <f>Draft!D104</f>
        <v xml:space="preserve"> </v>
      </c>
      <c r="C100" s="24" t="str">
        <f>Draft!E104</f>
        <v xml:space="preserve"> </v>
      </c>
      <c r="D100" s="24" t="str">
        <f>Draft!F104</f>
        <v xml:space="preserve"> 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</row>
    <row r="101" spans="1:18" ht="20">
      <c r="A101" s="24" t="str">
        <f>Draft!$C$8</f>
        <v>T6</v>
      </c>
      <c r="B101" s="24" t="str">
        <f>Draft!D115</f>
        <v xml:space="preserve"> </v>
      </c>
      <c r="C101" s="24" t="str">
        <f>Draft!E115</f>
        <v xml:space="preserve"> </v>
      </c>
      <c r="D101" s="24" t="str">
        <f>Draft!F115</f>
        <v xml:space="preserve"> 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</row>
    <row r="102" spans="1:18" ht="20">
      <c r="A102" s="24" t="str">
        <f>Draft!$C$8</f>
        <v>T6</v>
      </c>
      <c r="B102" s="24" t="str">
        <f>Draft!D128</f>
        <v xml:space="preserve"> </v>
      </c>
      <c r="C102" s="24" t="str">
        <f>Draft!E128</f>
        <v xml:space="preserve"> </v>
      </c>
      <c r="D102" s="24" t="str">
        <f>Draft!F128</f>
        <v xml:space="preserve"> 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</row>
    <row r="103" spans="1:18" ht="20">
      <c r="A103" s="24" t="str">
        <f>Draft!$C$8</f>
        <v>T6</v>
      </c>
      <c r="B103" s="24" t="str">
        <f>Draft!D139</f>
        <v xml:space="preserve"> </v>
      </c>
      <c r="C103" s="24" t="str">
        <f>Draft!E139</f>
        <v xml:space="preserve"> </v>
      </c>
      <c r="D103" s="24" t="str">
        <f>Draft!F139</f>
        <v xml:space="preserve"> 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</row>
    <row r="104" spans="1:18" ht="20">
      <c r="A104" s="24" t="str">
        <f>Draft!$C$8</f>
        <v>T6</v>
      </c>
      <c r="B104" s="24" t="str">
        <f>Draft!D152</f>
        <v xml:space="preserve"> </v>
      </c>
      <c r="C104" s="24" t="str">
        <f>Draft!E152</f>
        <v xml:space="preserve"> </v>
      </c>
      <c r="D104" s="24" t="str">
        <f>Draft!F152</f>
        <v xml:space="preserve"> 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</row>
    <row r="105" spans="1:18" ht="20">
      <c r="A105" s="24" t="str">
        <f>Draft!$C$8</f>
        <v>T6</v>
      </c>
      <c r="B105" s="24" t="str">
        <f>Draft!D163</f>
        <v xml:space="preserve"> </v>
      </c>
      <c r="C105" s="24" t="str">
        <f>Draft!E163</f>
        <v xml:space="preserve"> </v>
      </c>
      <c r="D105" s="24" t="str">
        <f>Draft!F163</f>
        <v xml:space="preserve"> 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</row>
    <row r="106" spans="1:18" ht="20">
      <c r="A106" s="24" t="str">
        <f>Draft!$C$8</f>
        <v>T6</v>
      </c>
      <c r="B106" s="24" t="str">
        <f>Draft!D176</f>
        <v xml:space="preserve"> </v>
      </c>
      <c r="C106" s="24" t="str">
        <f>Draft!E176</f>
        <v xml:space="preserve"> </v>
      </c>
      <c r="D106" s="24" t="str">
        <f>Draft!F176</f>
        <v xml:space="preserve"> 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</row>
    <row r="107" spans="1:18" ht="20">
      <c r="A107" s="24" t="str">
        <f>Draft!$C$9</f>
        <v>T7</v>
      </c>
      <c r="B107" s="24" t="str">
        <f>Draft!D9</f>
        <v xml:space="preserve"> </v>
      </c>
      <c r="C107" s="24" t="str">
        <f>Draft!E9</f>
        <v xml:space="preserve"> </v>
      </c>
      <c r="D107" s="24" t="str">
        <f>Draft!F9</f>
        <v xml:space="preserve"> 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</row>
    <row r="108" spans="1:18" ht="20">
      <c r="A108" s="24" t="str">
        <f>Draft!$C$9</f>
        <v>T7</v>
      </c>
      <c r="B108" s="24" t="str">
        <f>Draft!D18</f>
        <v xml:space="preserve"> </v>
      </c>
      <c r="C108" s="24" t="str">
        <f>Draft!E18</f>
        <v xml:space="preserve"> </v>
      </c>
      <c r="D108" s="24" t="str">
        <f>Draft!F18</f>
        <v xml:space="preserve"> 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</row>
    <row r="109" spans="1:18" ht="20">
      <c r="A109" s="24" t="str">
        <f>Draft!$C$9</f>
        <v>T7</v>
      </c>
      <c r="B109" s="24" t="str">
        <f>Draft!D33</f>
        <v xml:space="preserve"> </v>
      </c>
      <c r="C109" s="24" t="str">
        <f>Draft!E33</f>
        <v xml:space="preserve"> </v>
      </c>
      <c r="D109" s="24" t="str">
        <f>Draft!F33</f>
        <v xml:space="preserve"> 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</row>
    <row r="110" spans="1:18" ht="20">
      <c r="A110" s="24" t="str">
        <f>Draft!$C$9</f>
        <v>T7</v>
      </c>
      <c r="B110" s="24" t="str">
        <f>Draft!D42</f>
        <v xml:space="preserve"> </v>
      </c>
      <c r="C110" s="24" t="str">
        <f>Draft!E42</f>
        <v xml:space="preserve"> </v>
      </c>
      <c r="D110" s="24" t="str">
        <f>Draft!F42</f>
        <v xml:space="preserve"> 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</row>
    <row r="111" spans="1:18" ht="20">
      <c r="A111" s="24" t="str">
        <f>Draft!$C$9</f>
        <v>T7</v>
      </c>
      <c r="B111" s="24" t="str">
        <f>Draft!D57</f>
        <v xml:space="preserve"> </v>
      </c>
      <c r="C111" s="24" t="str">
        <f>Draft!E57</f>
        <v xml:space="preserve"> </v>
      </c>
      <c r="D111" s="24" t="str">
        <f>Draft!F57</f>
        <v xml:space="preserve"> 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</row>
    <row r="112" spans="1:18" ht="20">
      <c r="A112" s="24" t="str">
        <f>Draft!$C$9</f>
        <v>T7</v>
      </c>
      <c r="B112" s="24" t="str">
        <f>Draft!D66</f>
        <v xml:space="preserve"> </v>
      </c>
      <c r="C112" s="24" t="str">
        <f>Draft!E66</f>
        <v xml:space="preserve"> </v>
      </c>
      <c r="D112" s="24" t="str">
        <f>Draft!F66</f>
        <v xml:space="preserve"> 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</row>
    <row r="113" spans="1:18" ht="20">
      <c r="A113" s="24" t="str">
        <f>Draft!$C$9</f>
        <v>T7</v>
      </c>
      <c r="B113" s="24" t="str">
        <f>Draft!D81</f>
        <v xml:space="preserve"> </v>
      </c>
      <c r="C113" s="24" t="str">
        <f>Draft!E81</f>
        <v xml:space="preserve"> </v>
      </c>
      <c r="D113" s="24" t="str">
        <f>Draft!F81</f>
        <v xml:space="preserve"> 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</row>
    <row r="114" spans="1:18" ht="20">
      <c r="A114" s="24" t="str">
        <f>Draft!$C$9</f>
        <v>T7</v>
      </c>
      <c r="B114" s="24" t="str">
        <f>Draft!D90</f>
        <v xml:space="preserve"> </v>
      </c>
      <c r="C114" s="24" t="str">
        <f>Draft!E90</f>
        <v xml:space="preserve"> </v>
      </c>
      <c r="D114" s="24" t="str">
        <f>Draft!F90</f>
        <v xml:space="preserve"> 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</row>
    <row r="115" spans="1:18" ht="20">
      <c r="A115" s="24" t="str">
        <f>Draft!$C$9</f>
        <v>T7</v>
      </c>
      <c r="B115" s="24" t="str">
        <f>Draft!D105</f>
        <v xml:space="preserve"> </v>
      </c>
      <c r="C115" s="24" t="str">
        <f>Draft!E105</f>
        <v xml:space="preserve"> </v>
      </c>
      <c r="D115" s="24" t="str">
        <f>Draft!F105</f>
        <v xml:space="preserve"> 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</row>
    <row r="116" spans="1:18" ht="20">
      <c r="A116" s="24" t="str">
        <f>Draft!$C$9</f>
        <v>T7</v>
      </c>
      <c r="B116" s="24" t="str">
        <f>Draft!D114</f>
        <v xml:space="preserve"> </v>
      </c>
      <c r="C116" s="24" t="str">
        <f>Draft!E114</f>
        <v xml:space="preserve"> </v>
      </c>
      <c r="D116" s="24" t="str">
        <f>Draft!F114</f>
        <v xml:space="preserve"> 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</row>
    <row r="117" spans="1:18" ht="20">
      <c r="A117" s="24" t="str">
        <f>Draft!$C$9</f>
        <v>T7</v>
      </c>
      <c r="B117" s="24" t="str">
        <f>Draft!D129</f>
        <v xml:space="preserve"> </v>
      </c>
      <c r="C117" s="24" t="str">
        <f>Draft!E129</f>
        <v xml:space="preserve"> </v>
      </c>
      <c r="D117" s="24" t="str">
        <f>Draft!F129</f>
        <v xml:space="preserve"> 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</row>
    <row r="118" spans="1:18" ht="20">
      <c r="A118" s="24" t="str">
        <f>Draft!$C$9</f>
        <v>T7</v>
      </c>
      <c r="B118" s="24" t="str">
        <f>Draft!D138</f>
        <v xml:space="preserve"> </v>
      </c>
      <c r="C118" s="24" t="str">
        <f>Draft!E138</f>
        <v xml:space="preserve"> </v>
      </c>
      <c r="D118" s="24" t="str">
        <f>Draft!F138</f>
        <v xml:space="preserve"> 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</row>
    <row r="119" spans="1:18" ht="20">
      <c r="A119" s="24" t="str">
        <f>Draft!$C$9</f>
        <v>T7</v>
      </c>
      <c r="B119" s="24" t="str">
        <f>Draft!D153</f>
        <v xml:space="preserve"> </v>
      </c>
      <c r="C119" s="24" t="str">
        <f>Draft!E153</f>
        <v xml:space="preserve"> </v>
      </c>
      <c r="D119" s="24" t="str">
        <f>Draft!F153</f>
        <v xml:space="preserve"> 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</row>
    <row r="120" spans="1:18" ht="20">
      <c r="A120" s="24" t="str">
        <f>Draft!$C$9</f>
        <v>T7</v>
      </c>
      <c r="B120" s="24" t="str">
        <f>Draft!D162</f>
        <v xml:space="preserve"> </v>
      </c>
      <c r="C120" s="24" t="str">
        <f>Draft!E162</f>
        <v xml:space="preserve"> </v>
      </c>
      <c r="D120" s="24" t="str">
        <f>Draft!F162</f>
        <v xml:space="preserve"> 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</row>
    <row r="121" spans="1:18" ht="20">
      <c r="A121" s="24" t="str">
        <f>Draft!$C$9</f>
        <v>T7</v>
      </c>
      <c r="B121" s="24" t="str">
        <f>Draft!D177</f>
        <v xml:space="preserve"> </v>
      </c>
      <c r="C121" s="24" t="str">
        <f>Draft!E177</f>
        <v xml:space="preserve"> </v>
      </c>
      <c r="D121" s="24" t="str">
        <f>Draft!F177</f>
        <v xml:space="preserve"> 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</row>
    <row r="122" spans="1:18" ht="20">
      <c r="A122" s="24" t="str">
        <f>Draft!$C$10</f>
        <v>T8</v>
      </c>
      <c r="B122" s="24" t="str">
        <f>Draft!D10</f>
        <v xml:space="preserve"> </v>
      </c>
      <c r="C122" s="24" t="str">
        <f>Draft!E10</f>
        <v xml:space="preserve"> </v>
      </c>
      <c r="D122" s="24" t="str">
        <f>Draft!F10</f>
        <v xml:space="preserve"> 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</row>
    <row r="123" spans="1:18" ht="20">
      <c r="A123" s="24" t="str">
        <f>Draft!$C$10</f>
        <v>T8</v>
      </c>
      <c r="B123" s="24" t="str">
        <f>Draft!D17</f>
        <v xml:space="preserve"> </v>
      </c>
      <c r="C123" s="24" t="str">
        <f>Draft!E17</f>
        <v xml:space="preserve"> </v>
      </c>
      <c r="D123" s="24" t="str">
        <f>Draft!F17</f>
        <v xml:space="preserve"> 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</row>
    <row r="124" spans="1:18" ht="20">
      <c r="A124" s="24" t="str">
        <f>Draft!$C$10</f>
        <v>T8</v>
      </c>
      <c r="B124" s="24" t="str">
        <f>Draft!D34</f>
        <v xml:space="preserve"> </v>
      </c>
      <c r="C124" s="24" t="str">
        <f>Draft!E34</f>
        <v xml:space="preserve"> </v>
      </c>
      <c r="D124" s="24" t="str">
        <f>Draft!F34</f>
        <v xml:space="preserve"> 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</row>
    <row r="125" spans="1:18" ht="20">
      <c r="A125" s="24" t="str">
        <f>Draft!$C$10</f>
        <v>T8</v>
      </c>
      <c r="B125" s="24" t="str">
        <f>Draft!D41</f>
        <v xml:space="preserve"> </v>
      </c>
      <c r="C125" s="24" t="str">
        <f>Draft!E41</f>
        <v xml:space="preserve"> </v>
      </c>
      <c r="D125" s="24" t="str">
        <f>Draft!F41</f>
        <v xml:space="preserve"> 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</row>
    <row r="126" spans="1:18" ht="20">
      <c r="A126" s="24" t="str">
        <f>Draft!$C$10</f>
        <v>T8</v>
      </c>
      <c r="B126" s="24" t="str">
        <f>Draft!D58</f>
        <v xml:space="preserve"> </v>
      </c>
      <c r="C126" s="24" t="str">
        <f>Draft!E58</f>
        <v xml:space="preserve"> </v>
      </c>
      <c r="D126" s="24" t="str">
        <f>Draft!F58</f>
        <v xml:space="preserve"> 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</row>
    <row r="127" spans="1:18" ht="20">
      <c r="A127" s="24" t="str">
        <f>Draft!$C$10</f>
        <v>T8</v>
      </c>
      <c r="B127" s="24" t="str">
        <f>Draft!D65</f>
        <v xml:space="preserve"> </v>
      </c>
      <c r="C127" s="24" t="str">
        <f>Draft!E65</f>
        <v xml:space="preserve"> </v>
      </c>
      <c r="D127" s="24" t="str">
        <f>Draft!F65</f>
        <v xml:space="preserve"> 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</row>
    <row r="128" spans="1:18" ht="20">
      <c r="A128" s="24" t="str">
        <f>Draft!$C$10</f>
        <v>T8</v>
      </c>
      <c r="B128" s="24" t="str">
        <f>Draft!D82</f>
        <v xml:space="preserve"> </v>
      </c>
      <c r="C128" s="24" t="str">
        <f>Draft!E82</f>
        <v xml:space="preserve"> </v>
      </c>
      <c r="D128" s="24" t="str">
        <f>Draft!F82</f>
        <v xml:space="preserve"> 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</row>
    <row r="129" spans="1:18" ht="20">
      <c r="A129" s="24" t="str">
        <f>Draft!$C$10</f>
        <v>T8</v>
      </c>
      <c r="B129" s="24" t="str">
        <f>Draft!D89</f>
        <v xml:space="preserve"> </v>
      </c>
      <c r="C129" s="24" t="str">
        <f>Draft!E89</f>
        <v xml:space="preserve"> </v>
      </c>
      <c r="D129" s="24" t="str">
        <f>Draft!F89</f>
        <v xml:space="preserve"> 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</row>
    <row r="130" spans="1:18" ht="20">
      <c r="A130" s="24" t="str">
        <f>Draft!$C$10</f>
        <v>T8</v>
      </c>
      <c r="B130" s="24" t="str">
        <f>Draft!D106</f>
        <v xml:space="preserve"> </v>
      </c>
      <c r="C130" s="24" t="str">
        <f>Draft!E106</f>
        <v xml:space="preserve"> </v>
      </c>
      <c r="D130" s="24" t="str">
        <f>Draft!F106</f>
        <v xml:space="preserve"> 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</row>
    <row r="131" spans="1:18" ht="20">
      <c r="A131" s="24" t="str">
        <f>Draft!$C$10</f>
        <v>T8</v>
      </c>
      <c r="B131" s="24" t="str">
        <f>Draft!D113</f>
        <v xml:space="preserve"> </v>
      </c>
      <c r="C131" s="24" t="str">
        <f>Draft!E113</f>
        <v xml:space="preserve"> </v>
      </c>
      <c r="D131" s="24" t="str">
        <f>Draft!F113</f>
        <v xml:space="preserve"> 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</row>
    <row r="132" spans="1:18" ht="20">
      <c r="A132" s="24" t="str">
        <f>Draft!$C$10</f>
        <v>T8</v>
      </c>
      <c r="B132" s="24" t="str">
        <f>Draft!D130</f>
        <v xml:space="preserve"> </v>
      </c>
      <c r="C132" s="24" t="str">
        <f>Draft!E130</f>
        <v xml:space="preserve"> </v>
      </c>
      <c r="D132" s="24" t="str">
        <f>Draft!F130</f>
        <v xml:space="preserve"> 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</row>
    <row r="133" spans="1:18" ht="20">
      <c r="A133" s="24" t="str">
        <f>Draft!$C$10</f>
        <v>T8</v>
      </c>
      <c r="B133" s="24" t="str">
        <f>Draft!D137</f>
        <v xml:space="preserve"> </v>
      </c>
      <c r="C133" s="24" t="str">
        <f>Draft!E137</f>
        <v xml:space="preserve"> </v>
      </c>
      <c r="D133" s="24" t="str">
        <f>Draft!F137</f>
        <v xml:space="preserve"> 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</row>
    <row r="134" spans="1:18" ht="20">
      <c r="A134" s="24" t="str">
        <f>Draft!$C$10</f>
        <v>T8</v>
      </c>
      <c r="B134" s="24" t="str">
        <f>Draft!D154</f>
        <v xml:space="preserve"> </v>
      </c>
      <c r="C134" s="24" t="str">
        <f>Draft!E154</f>
        <v xml:space="preserve"> </v>
      </c>
      <c r="D134" s="24" t="str">
        <f>Draft!F154</f>
        <v xml:space="preserve"> 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</row>
    <row r="135" spans="1:18" ht="20">
      <c r="A135" s="24" t="str">
        <f>Draft!$C$10</f>
        <v>T8</v>
      </c>
      <c r="B135" s="24" t="str">
        <f>Draft!D161</f>
        <v xml:space="preserve"> </v>
      </c>
      <c r="C135" s="24" t="str">
        <f>Draft!E161</f>
        <v xml:space="preserve"> </v>
      </c>
      <c r="D135" s="24" t="str">
        <f>Draft!F161</f>
        <v xml:space="preserve"> 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</row>
    <row r="136" spans="1:18" ht="20">
      <c r="A136" s="24" t="str">
        <f>Draft!$C$10</f>
        <v>T8</v>
      </c>
      <c r="B136" s="24" t="str">
        <f>Draft!D178</f>
        <v xml:space="preserve"> </v>
      </c>
      <c r="C136" s="24" t="str">
        <f>Draft!E178</f>
        <v xml:space="preserve"> </v>
      </c>
      <c r="D136" s="24" t="str">
        <f>Draft!F178</f>
        <v xml:space="preserve"> 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</row>
    <row r="137" spans="1:18" ht="20">
      <c r="A137" s="24" t="str">
        <f>Draft!$C$11</f>
        <v>T9</v>
      </c>
      <c r="B137" s="24" t="str">
        <f>Draft!D11</f>
        <v xml:space="preserve"> </v>
      </c>
      <c r="C137" s="24" t="str">
        <f>Draft!E11</f>
        <v xml:space="preserve"> </v>
      </c>
      <c r="D137" s="24" t="str">
        <f>Draft!F11</f>
        <v xml:space="preserve"> 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</row>
    <row r="138" spans="1:18" ht="20">
      <c r="A138" s="24" t="str">
        <f>Draft!$C$11</f>
        <v>T9</v>
      </c>
      <c r="B138" s="24" t="str">
        <f>Draft!D16</f>
        <v xml:space="preserve"> </v>
      </c>
      <c r="C138" s="24" t="str">
        <f>Draft!E16</f>
        <v xml:space="preserve"> </v>
      </c>
      <c r="D138" s="24" t="str">
        <f>Draft!F16</f>
        <v xml:space="preserve"> 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</row>
    <row r="139" spans="1:18" ht="20">
      <c r="A139" s="24" t="str">
        <f>Draft!$C$11</f>
        <v>T9</v>
      </c>
      <c r="B139" s="24" t="str">
        <f>Draft!D35</f>
        <v xml:space="preserve"> </v>
      </c>
      <c r="C139" s="24" t="str">
        <f>Draft!E35</f>
        <v xml:space="preserve"> </v>
      </c>
      <c r="D139" s="24" t="str">
        <f>Draft!F35</f>
        <v xml:space="preserve"> 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</row>
    <row r="140" spans="1:18" ht="20">
      <c r="A140" s="24" t="str">
        <f>Draft!$C$11</f>
        <v>T9</v>
      </c>
      <c r="B140" s="24" t="str">
        <f>Draft!D40</f>
        <v xml:space="preserve"> </v>
      </c>
      <c r="C140" s="24" t="str">
        <f>Draft!E40</f>
        <v xml:space="preserve"> </v>
      </c>
      <c r="D140" s="24" t="str">
        <f>Draft!F40</f>
        <v xml:space="preserve"> 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</row>
    <row r="141" spans="1:18" ht="20">
      <c r="A141" s="24" t="str">
        <f>Draft!$C$11</f>
        <v>T9</v>
      </c>
      <c r="B141" s="24" t="str">
        <f>Draft!D59</f>
        <v xml:space="preserve"> </v>
      </c>
      <c r="C141" s="24" t="str">
        <f>Draft!E59</f>
        <v xml:space="preserve"> </v>
      </c>
      <c r="D141" s="24" t="str">
        <f>Draft!F59</f>
        <v xml:space="preserve"> 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</row>
    <row r="142" spans="1:18" ht="20">
      <c r="A142" s="24" t="str">
        <f>Draft!$C$11</f>
        <v>T9</v>
      </c>
      <c r="B142" s="24" t="str">
        <f>Draft!D64</f>
        <v xml:space="preserve"> </v>
      </c>
      <c r="C142" s="24" t="str">
        <f>Draft!E64</f>
        <v xml:space="preserve"> </v>
      </c>
      <c r="D142" s="24" t="str">
        <f>Draft!F64</f>
        <v xml:space="preserve"> 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</row>
    <row r="143" spans="1:18" ht="20">
      <c r="A143" s="24" t="str">
        <f>Draft!$C$11</f>
        <v>T9</v>
      </c>
      <c r="B143" s="24" t="str">
        <f>Draft!D83</f>
        <v xml:space="preserve"> </v>
      </c>
      <c r="C143" s="24" t="str">
        <f>Draft!E83</f>
        <v xml:space="preserve"> </v>
      </c>
      <c r="D143" s="24" t="str">
        <f>Draft!F83</f>
        <v xml:space="preserve"> 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</row>
    <row r="144" spans="1:18" ht="20">
      <c r="A144" s="24" t="str">
        <f>Draft!$C$11</f>
        <v>T9</v>
      </c>
      <c r="B144" s="24" t="str">
        <f>Draft!D88</f>
        <v xml:space="preserve"> </v>
      </c>
      <c r="C144" s="24" t="str">
        <f>Draft!E88</f>
        <v xml:space="preserve"> </v>
      </c>
      <c r="D144" s="24" t="str">
        <f>Draft!F88</f>
        <v xml:space="preserve"> 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</row>
    <row r="145" spans="1:18" ht="20">
      <c r="A145" s="24" t="str">
        <f>Draft!$C$11</f>
        <v>T9</v>
      </c>
      <c r="B145" s="24" t="str">
        <f>Draft!D107</f>
        <v xml:space="preserve"> </v>
      </c>
      <c r="C145" s="24" t="str">
        <f>Draft!E107</f>
        <v xml:space="preserve"> </v>
      </c>
      <c r="D145" s="24" t="str">
        <f>Draft!F107</f>
        <v xml:space="preserve"> 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</row>
    <row r="146" spans="1:18" ht="20">
      <c r="A146" s="24" t="str">
        <f>Draft!$C$11</f>
        <v>T9</v>
      </c>
      <c r="B146" s="24" t="str">
        <f>Draft!D112</f>
        <v xml:space="preserve"> </v>
      </c>
      <c r="C146" s="24" t="str">
        <f>Draft!E112</f>
        <v xml:space="preserve"> </v>
      </c>
      <c r="D146" s="24" t="str">
        <f>Draft!F112</f>
        <v xml:space="preserve"> 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</row>
    <row r="147" spans="1:18" ht="20">
      <c r="A147" s="24" t="str">
        <f>Draft!$C$11</f>
        <v>T9</v>
      </c>
      <c r="B147" s="24" t="str">
        <f>Draft!D131</f>
        <v xml:space="preserve"> </v>
      </c>
      <c r="C147" s="24" t="str">
        <f>Draft!E131</f>
        <v xml:space="preserve"> </v>
      </c>
      <c r="D147" s="24" t="str">
        <f>Draft!F131</f>
        <v xml:space="preserve"> 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</row>
    <row r="148" spans="1:18" ht="20">
      <c r="A148" s="24" t="str">
        <f>Draft!$C$11</f>
        <v>T9</v>
      </c>
      <c r="B148" s="24" t="str">
        <f>Draft!D136</f>
        <v xml:space="preserve"> </v>
      </c>
      <c r="C148" s="24" t="str">
        <f>Draft!E136</f>
        <v xml:space="preserve"> </v>
      </c>
      <c r="D148" s="24" t="str">
        <f>Draft!F136</f>
        <v xml:space="preserve"> 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</row>
    <row r="149" spans="1:18" ht="20">
      <c r="A149" s="24" t="str">
        <f>Draft!$C$11</f>
        <v>T9</v>
      </c>
      <c r="B149" s="24" t="str">
        <f>Draft!D155</f>
        <v xml:space="preserve"> </v>
      </c>
      <c r="C149" s="24" t="str">
        <f>Draft!E155</f>
        <v xml:space="preserve"> </v>
      </c>
      <c r="D149" s="24" t="str">
        <f>Draft!F155</f>
        <v xml:space="preserve"> 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</row>
    <row r="150" spans="1:18" ht="20">
      <c r="A150" s="24" t="str">
        <f>Draft!$C$11</f>
        <v>T9</v>
      </c>
      <c r="B150" s="24" t="str">
        <f>Draft!D160</f>
        <v xml:space="preserve"> </v>
      </c>
      <c r="C150" s="24" t="str">
        <f>Draft!E160</f>
        <v xml:space="preserve"> </v>
      </c>
      <c r="D150" s="24" t="str">
        <f>Draft!F160</f>
        <v xml:space="preserve"> 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</row>
    <row r="151" spans="1:18" ht="20">
      <c r="A151" s="24" t="str">
        <f>Draft!$C$11</f>
        <v>T9</v>
      </c>
      <c r="B151" s="24" t="str">
        <f>Draft!D179</f>
        <v xml:space="preserve"> </v>
      </c>
      <c r="C151" s="24" t="str">
        <f>Draft!E179</f>
        <v xml:space="preserve"> </v>
      </c>
      <c r="D151" s="24" t="str">
        <f>Draft!F179</f>
        <v xml:space="preserve"> 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</row>
    <row r="152" spans="1:18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</row>
    <row r="153" spans="1:18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</row>
    <row r="154" spans="1:18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</row>
    <row r="155" spans="1:18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</row>
    <row r="156" spans="1:18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</row>
    <row r="157" spans="1:18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</row>
  </sheetData>
  <sheetProtection sheet="1" objects="1" scenarios="1" sort="0" autoFilter="0"/>
  <autoFilter ref="A1:D151"/>
  <conditionalFormatting sqref="B2:D151">
    <cfRule type="expression" dxfId="1" priority="1">
      <formula>ISERROR(B2)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Players</vt:lpstr>
      <vt:lpstr>Draft</vt:lpstr>
      <vt:lpstr>Teams Comp</vt:lpstr>
      <vt:lpstr>Teams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Joseph Cheramy</dc:creator>
  <cp:keywords/>
  <cp:lastModifiedBy>Joseph Cheramy</cp:lastModifiedBy>
  <cp:lastPrinted>2014-09-01T16:31:35Z</cp:lastPrinted>
  <dcterms:created xsi:type="dcterms:W3CDTF">2013-08-04T02:04:38Z</dcterms:created>
  <dcterms:modified xsi:type="dcterms:W3CDTF">2015-07-06T22:00:23Z</dcterms:modified>
</cp:coreProperties>
</file>